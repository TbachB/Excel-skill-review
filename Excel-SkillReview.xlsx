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bui_250_osu_edu/Documents/CSE 2111/Lab 4/"/>
    </mc:Choice>
  </mc:AlternateContent>
  <xr:revisionPtr revIDLastSave="101" documentId="13_ncr:1_{A77DC07C-EDA9-472E-8E83-07FE5ECFF003}" xr6:coauthVersionLast="47" xr6:coauthVersionMax="47" xr10:uidLastSave="{985DF704-FFDE-0049-B2BD-65A0B98373A8}"/>
  <bookViews>
    <workbookView xWindow="0" yWindow="0" windowWidth="28800" windowHeight="18000" activeTab="3" xr2:uid="{00000000-000D-0000-FFFF-FFFF00000000}"/>
  </bookViews>
  <sheets>
    <sheet name="By Owner Sales" sheetId="6" r:id="rId1"/>
    <sheet name="Sheet2" sheetId="8" r:id="rId2"/>
    <sheet name="Sales Data" sheetId="3" r:id="rId3"/>
    <sheet name="Loan Worksheet" sheetId="5" r:id="rId4"/>
  </sheets>
  <definedNames>
    <definedName name="_xlchart.v1.0" hidden="1">'Sales Data'!$A$3:$A$139</definedName>
    <definedName name="_xlchart.v1.1" hidden="1">'Sales Data'!$I$3:$I$139</definedName>
    <definedName name="_xlchart.v1.2" hidden="1">'Sales Data'!$A$3:$A$139</definedName>
    <definedName name="_xlchart.v1.3" hidden="1">'Sales Data'!$I$3:$I$139</definedName>
    <definedName name="_xlchart.v1.4" hidden="1">'Sales Data'!$A$3:$A$139</definedName>
    <definedName name="_xlchart.v1.5" hidden="1">'Sales Data'!$I$3:$I$139</definedName>
    <definedName name="_xlchart.v1.6" hidden="1">'Sales Data'!$A$3:$A$139</definedName>
    <definedName name="_xlchart.v1.7" hidden="1">'Sales Data'!$I$3:$I$139</definedName>
    <definedName name="_xlchart.v1.8" hidden="1">'Sales Data'!$A$3:$A$139</definedName>
    <definedName name="_xlchart.v1.9" hidden="1">'Sales Data'!$I$3:$I$139</definedName>
  </definedNames>
  <calcPr calcId="191028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0" i="3" l="1"/>
  <c r="J140" i="3"/>
  <c r="I140" i="3"/>
  <c r="F140" i="3"/>
  <c r="E140" i="3"/>
  <c r="C140" i="3"/>
  <c r="B5" i="5"/>
  <c r="H4" i="5"/>
</calcChain>
</file>

<file path=xl/sharedStrings.xml><?xml version="1.0" encoding="utf-8"?>
<sst xmlns="http://schemas.openxmlformats.org/spreadsheetml/2006/main" count="864" uniqueCount="133">
  <si>
    <t>Date of Purchase</t>
  </si>
  <si>
    <t>Agent</t>
  </si>
  <si>
    <t>Buyers</t>
  </si>
  <si>
    <t>House Type</t>
  </si>
  <si>
    <t>Bedrooms</t>
  </si>
  <si>
    <t>Bathrooms</t>
  </si>
  <si>
    <t>Fireplace</t>
  </si>
  <si>
    <t>Near Schools</t>
  </si>
  <si>
    <t>Purchase Price</t>
  </si>
  <si>
    <t>Rate</t>
  </si>
  <si>
    <t>Bank</t>
  </si>
  <si>
    <t>Mortgage Years</t>
  </si>
  <si>
    <t>If you can afford this loan:</t>
  </si>
  <si>
    <t>Childs</t>
  </si>
  <si>
    <t>You can borrow this much:</t>
  </si>
  <si>
    <t>Bytes</t>
  </si>
  <si>
    <t>By Owner</t>
  </si>
  <si>
    <t>Collarserdo</t>
  </si>
  <si>
    <t>Johnson</t>
  </si>
  <si>
    <t>Pippen</t>
  </si>
  <si>
    <t>Loan Payment</t>
  </si>
  <si>
    <t>Scott</t>
  </si>
  <si>
    <t>Withers</t>
  </si>
  <si>
    <t>Perkins</t>
  </si>
  <si>
    <t>No</t>
  </si>
  <si>
    <t>Nanowski</t>
  </si>
  <si>
    <t>West</t>
  </si>
  <si>
    <t>Pell</t>
  </si>
  <si>
    <t>Victoria</t>
  </si>
  <si>
    <t>Youngston</t>
  </si>
  <si>
    <t>Williams</t>
  </si>
  <si>
    <t>Yes</t>
  </si>
  <si>
    <t>Condominium</t>
  </si>
  <si>
    <t>Bryant</t>
  </si>
  <si>
    <t>O'Neil</t>
  </si>
  <si>
    <t>Amount to Borrow</t>
  </si>
  <si>
    <t>Jacobs</t>
  </si>
  <si>
    <t>Chama</t>
  </si>
  <si>
    <t>Slocum</t>
  </si>
  <si>
    <t>Contemporary</t>
  </si>
  <si>
    <t>Tithers</t>
  </si>
  <si>
    <t>Harris</t>
  </si>
  <si>
    <t>Bergquist</t>
  </si>
  <si>
    <t>Grant</t>
  </si>
  <si>
    <t>Bell</t>
  </si>
  <si>
    <t>Snipes</t>
  </si>
  <si>
    <t>Smythe</t>
  </si>
  <si>
    <t>Bryan</t>
  </si>
  <si>
    <t>Colonial</t>
  </si>
  <si>
    <t>Nyne</t>
  </si>
  <si>
    <t>Victor</t>
  </si>
  <si>
    <t>Millhouse</t>
  </si>
  <si>
    <t>Young</t>
  </si>
  <si>
    <t>Nosmiles</t>
  </si>
  <si>
    <t>Tinker</t>
  </si>
  <si>
    <t>Nations</t>
  </si>
  <si>
    <t>Holland</t>
  </si>
  <si>
    <t>Ranch</t>
  </si>
  <si>
    <t>Citywide</t>
  </si>
  <si>
    <t>Smith</t>
  </si>
  <si>
    <t>Nettle</t>
  </si>
  <si>
    <t>Lee</t>
  </si>
  <si>
    <t>Sikes</t>
  </si>
  <si>
    <t>Henney</t>
  </si>
  <si>
    <t>Downing</t>
  </si>
  <si>
    <t>Willows</t>
  </si>
  <si>
    <t>Na</t>
  </si>
  <si>
    <t>Hairless</t>
  </si>
  <si>
    <t>People's</t>
  </si>
  <si>
    <t>Frost</t>
  </si>
  <si>
    <t>Jones</t>
  </si>
  <si>
    <t>Citizens</t>
  </si>
  <si>
    <t>Weston</t>
  </si>
  <si>
    <t>Roger</t>
  </si>
  <si>
    <t>Matherson</t>
  </si>
  <si>
    <t>Pod</t>
  </si>
  <si>
    <t>Muchley</t>
  </si>
  <si>
    <t>Nagasaki</t>
  </si>
  <si>
    <t>Nicks</t>
  </si>
  <si>
    <t>Greenston</t>
  </si>
  <si>
    <t>Nelson</t>
  </si>
  <si>
    <t>Smathers</t>
  </si>
  <si>
    <t>Chipman</t>
  </si>
  <si>
    <t>Kinnon</t>
  </si>
  <si>
    <t>Timmerman</t>
  </si>
  <si>
    <t>Nagato</t>
  </si>
  <si>
    <t>Wilson</t>
  </si>
  <si>
    <t>Cowoart</t>
  </si>
  <si>
    <t>Thatcher</t>
  </si>
  <si>
    <t>Perry</t>
  </si>
  <si>
    <t>Lonsdale</t>
  </si>
  <si>
    <t>Smithers</t>
  </si>
  <si>
    <t>Watkins</t>
  </si>
  <si>
    <t>Taylor</t>
  </si>
  <si>
    <t>Vu</t>
  </si>
  <si>
    <t>Remax</t>
  </si>
  <si>
    <t>Cater</t>
  </si>
  <si>
    <t>Bond</t>
  </si>
  <si>
    <t>Zimmerman</t>
  </si>
  <si>
    <t>Bank Of America</t>
  </si>
  <si>
    <t>Charleson</t>
  </si>
  <si>
    <t>Hawkins</t>
  </si>
  <si>
    <t>Bennett</t>
  </si>
  <si>
    <t>Negreedy</t>
  </si>
  <si>
    <t>King</t>
  </si>
  <si>
    <t>Melon</t>
  </si>
  <si>
    <t>Sanchaz</t>
  </si>
  <si>
    <t>Newman</t>
  </si>
  <si>
    <t>Castle</t>
  </si>
  <si>
    <t>Tinkleman</t>
  </si>
  <si>
    <t>Able</t>
  </si>
  <si>
    <t>Xavier</t>
  </si>
  <si>
    <t>Reynolds</t>
  </si>
  <si>
    <t>Century 21</t>
  </si>
  <si>
    <t>Ace</t>
  </si>
  <si>
    <t>Grande</t>
  </si>
  <si>
    <t>First Federal</t>
  </si>
  <si>
    <t>Homes and Garden</t>
  </si>
  <si>
    <t>Jackson</t>
  </si>
  <si>
    <t>Zink</t>
  </si>
  <si>
    <t>Williman's</t>
  </si>
  <si>
    <t>Total</t>
  </si>
  <si>
    <t>Rates</t>
  </si>
  <si>
    <t>Years</t>
  </si>
  <si>
    <t>Zinker</t>
  </si>
  <si>
    <t>years</t>
  </si>
  <si>
    <t>Rodman</t>
  </si>
  <si>
    <t>Charles</t>
  </si>
  <si>
    <t>White</t>
  </si>
  <si>
    <t xml:space="preserve"> Borrowed</t>
  </si>
  <si>
    <t xml:space="preserve">Loan Payment per </t>
  </si>
  <si>
    <t>Grand Total</t>
  </si>
  <si>
    <t>Average of Purchase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</si>
</sst>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</numFmts>
  <fonts count="1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Verdana"/>
      <family val="2"/>
    </font>
    <font>
      <sz val="18"/>
      <color theme="3"/>
      <name val="Calibri Light"/>
      <family val="2"/>
      <scheme val="major"/>
    </font>
    <font>
      <sz val="11"/>
      <color rgb="FF3F3F76"/>
      <name val="Calibri"/>
      <family val="2"/>
      <scheme val="minor"/>
    </font>
    <font>
      <b/>
      <sz val="10"/>
      <name val="Arial"/>
      <family val="2"/>
    </font>
    <font>
      <b/>
      <sz val="10"/>
      <color theme="9"/>
      <name val="Arial"/>
      <family val="2"/>
    </font>
    <font>
      <sz val="14"/>
      <color theme="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6"/>
        <bgColor indexed="64"/>
      </patternFill>
    </fill>
  </fills>
  <borders count="2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5" fillId="2" borderId="1" applyNumberFormat="0" applyAlignment="0" applyProtection="0"/>
    <xf numFmtId="0" fontId="10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53">
    <xf numFmtId="0" fontId="0" fillId="0" borderId="0" xfId="0"/>
    <xf numFmtId="0" fontId="10" fillId="0" borderId="0" xfId="3"/>
    <xf numFmtId="0" fontId="1" fillId="0" borderId="0" xfId="3" applyFont="1"/>
    <xf numFmtId="9" fontId="10" fillId="0" borderId="0" xfId="3" applyNumberFormat="1"/>
    <xf numFmtId="10" fontId="0" fillId="0" borderId="0" xfId="4" applyNumberFormat="1" applyFont="1"/>
    <xf numFmtId="164" fontId="10" fillId="0" borderId="0" xfId="3" applyNumberFormat="1"/>
    <xf numFmtId="14" fontId="10" fillId="0" borderId="0" xfId="3" applyNumberFormat="1"/>
    <xf numFmtId="0" fontId="6" fillId="0" borderId="0" xfId="3" applyFont="1"/>
    <xf numFmtId="0" fontId="10" fillId="0" borderId="7" xfId="3" applyBorder="1"/>
    <xf numFmtId="0" fontId="1" fillId="0" borderId="4" xfId="3" applyFont="1" applyBorder="1" applyAlignment="1">
      <alignment horizontal="right"/>
    </xf>
    <xf numFmtId="0" fontId="1" fillId="0" borderId="6" xfId="3" applyFont="1" applyBorder="1" applyAlignment="1">
      <alignment horizontal="right"/>
    </xf>
    <xf numFmtId="10" fontId="0" fillId="0" borderId="5" xfId="4" applyNumberFormat="1" applyFont="1" applyBorder="1"/>
    <xf numFmtId="10" fontId="5" fillId="2" borderId="1" xfId="2" applyNumberFormat="1"/>
    <xf numFmtId="14" fontId="6" fillId="0" borderId="0" xfId="3" applyNumberFormat="1" applyFont="1"/>
    <xf numFmtId="10" fontId="6" fillId="0" borderId="0" xfId="4" applyNumberFormat="1" applyFont="1"/>
    <xf numFmtId="0" fontId="8" fillId="3" borderId="0" xfId="5" applyFont="1" applyFill="1" applyAlignment="1"/>
    <xf numFmtId="6" fontId="9" fillId="3" borderId="0" xfId="5" applyNumberFormat="1" applyFont="1" applyFill="1" applyAlignment="1"/>
    <xf numFmtId="165" fontId="0" fillId="0" borderId="7" xfId="1" applyNumberFormat="1" applyFont="1" applyBorder="1"/>
    <xf numFmtId="10" fontId="10" fillId="0" borderId="0" xfId="3" applyNumberFormat="1"/>
    <xf numFmtId="0" fontId="6" fillId="0" borderId="9" xfId="1" applyNumberFormat="1" applyFont="1" applyBorder="1"/>
    <xf numFmtId="0" fontId="6" fillId="0" borderId="10" xfId="1" applyNumberFormat="1" applyFont="1" applyBorder="1"/>
    <xf numFmtId="10" fontId="10" fillId="0" borderId="11" xfId="3" applyNumberFormat="1" applyBorder="1"/>
    <xf numFmtId="8" fontId="7" fillId="0" borderId="8" xfId="1" applyNumberFormat="1" applyFont="1" applyBorder="1"/>
    <xf numFmtId="44" fontId="0" fillId="0" borderId="0" xfId="1" applyFont="1" applyBorder="1"/>
    <xf numFmtId="44" fontId="0" fillId="0" borderId="12" xfId="1" applyFont="1" applyBorder="1"/>
    <xf numFmtId="44" fontId="0" fillId="0" borderId="13" xfId="1" applyFont="1" applyBorder="1"/>
    <xf numFmtId="44" fontId="0" fillId="0" borderId="14" xfId="1" applyFont="1" applyBorder="1"/>
    <xf numFmtId="8" fontId="0" fillId="0" borderId="5" xfId="1" applyNumberFormat="1" applyFont="1" applyBorder="1" applyAlignment="1">
      <alignment horizontal="right"/>
    </xf>
    <xf numFmtId="10" fontId="10" fillId="0" borderId="15" xfId="3" applyNumberFormat="1" applyBorder="1"/>
    <xf numFmtId="0" fontId="1" fillId="0" borderId="0" xfId="0" applyFont="1"/>
    <xf numFmtId="0" fontId="11" fillId="0" borderId="0" xfId="0" applyFont="1"/>
    <xf numFmtId="0" fontId="1" fillId="0" borderId="0" xfId="3" applyFont="1" applyAlignment="1">
      <alignment horizontal="center"/>
    </xf>
    <xf numFmtId="0" fontId="10" fillId="0" borderId="0" xfId="3" applyAlignment="1">
      <alignment horizontal="center"/>
    </xf>
    <xf numFmtId="0" fontId="6" fillId="0" borderId="2" xfId="3" applyFont="1" applyBorder="1" applyAlignment="1">
      <alignment horizontal="center"/>
    </xf>
    <xf numFmtId="0" fontId="6" fillId="0" borderId="3" xfId="3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6" xfId="0" pivotButton="1" applyBorder="1"/>
    <xf numFmtId="0" fontId="0" fillId="0" borderId="20" xfId="0" applyBorder="1"/>
    <xf numFmtId="0" fontId="0" fillId="0" borderId="16" xfId="0" applyBorder="1" applyAlignment="1">
      <alignment horizontal="left"/>
    </xf>
    <xf numFmtId="164" fontId="0" fillId="0" borderId="20" xfId="0" applyNumberFormat="1" applyBorder="1"/>
    <xf numFmtId="0" fontId="0" fillId="0" borderId="19" xfId="0" applyBorder="1" applyAlignment="1">
      <alignment horizontal="left"/>
    </xf>
    <xf numFmtId="164" fontId="0" fillId="0" borderId="21" xfId="0" applyNumberFormat="1" applyBorder="1"/>
    <xf numFmtId="0" fontId="0" fillId="0" borderId="23" xfId="0" applyBorder="1" applyAlignment="1">
      <alignment horizontal="left"/>
    </xf>
    <xf numFmtId="164" fontId="0" fillId="0" borderId="22" xfId="0" applyNumberFormat="1" applyBorder="1"/>
    <xf numFmtId="0" fontId="0" fillId="0" borderId="24" xfId="0" applyBorder="1"/>
    <xf numFmtId="164" fontId="0" fillId="0" borderId="16" xfId="0" applyNumberFormat="1" applyBorder="1"/>
    <xf numFmtId="164" fontId="0" fillId="0" borderId="24" xfId="0" applyNumberFormat="1" applyBorder="1"/>
    <xf numFmtId="164" fontId="0" fillId="0" borderId="19" xfId="0" applyNumberFormat="1" applyBorder="1"/>
    <xf numFmtId="164" fontId="0" fillId="0" borderId="25" xfId="0" applyNumberFormat="1" applyBorder="1"/>
    <xf numFmtId="164" fontId="0" fillId="0" borderId="23" xfId="0" applyNumberFormat="1" applyBorder="1"/>
    <xf numFmtId="164" fontId="0" fillId="0" borderId="26" xfId="0" applyNumberFormat="1" applyBorder="1"/>
  </cellXfs>
  <cellStyles count="6">
    <cellStyle name="Currency#TnBmtWgHPaIn95ql0X08DAQWDRBp+RovlQ1GPMMhyYI=" xfId="1" xr:uid="{00000000-0005-0000-0000-000005000000}"/>
    <cellStyle name="Input#hlgaKtect0iCrAl/f2c4uv0lkfWfveiAah0JwsGua7U=" xfId="2" xr:uid="{00000000-0005-0000-0000-000006000000}"/>
    <cellStyle name="Normal" xfId="0" builtinId="0"/>
    <cellStyle name="Normal#NusYdTU/JETrwGhwFZHmSuBW0xsXf4wCJenqu5yfQRg=" xfId="3" xr:uid="{00000000-0005-0000-0000-000007000000}"/>
    <cellStyle name="Percent#AXI/IQ2h0ikHZdUMWYTHJafDb7646BFR3CtDT25qiEs=" xfId="4" xr:uid="{00000000-0005-0000-0000-000008000000}"/>
    <cellStyle name="Title#p8+srgcSb1+3Ic008mJGJgSeKzSk9/b1lDRawt9Bhmw=" xfId="5" xr:uid="{00000000-0005-0000-0000-000009000000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9" formatCode="m/d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Owner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7200297347077"/>
          <c:y val="0.31195734986908147"/>
          <c:w val="0.83838353038101143"/>
          <c:h val="0.49960733899859155"/>
        </c:manualLayout>
      </c:layout>
      <c:lineChart>
        <c:grouping val="standard"/>
        <c:varyColors val="0"/>
        <c:ser>
          <c:idx val="0"/>
          <c:order val="0"/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errBars>
          <c:cat>
            <c:numRef>
              <c:f>'Sales Data'!$A$3:$A$139</c:f>
              <c:numCache>
                <c:formatCode>m/d/yy</c:formatCode>
                <c:ptCount val="10"/>
                <c:pt idx="0">
                  <c:v>44647</c:v>
                </c:pt>
                <c:pt idx="1">
                  <c:v>44647</c:v>
                </c:pt>
                <c:pt idx="2">
                  <c:v>44646</c:v>
                </c:pt>
                <c:pt idx="3">
                  <c:v>44623</c:v>
                </c:pt>
                <c:pt idx="4">
                  <c:v>44623</c:v>
                </c:pt>
                <c:pt idx="5">
                  <c:v>44454</c:v>
                </c:pt>
                <c:pt idx="6">
                  <c:v>44391</c:v>
                </c:pt>
                <c:pt idx="7">
                  <c:v>44391</c:v>
                </c:pt>
                <c:pt idx="8">
                  <c:v>44304</c:v>
                </c:pt>
                <c:pt idx="9">
                  <c:v>44304</c:v>
                </c:pt>
              </c:numCache>
            </c:numRef>
          </c:cat>
          <c:val>
            <c:numRef>
              <c:f>'Sales Data'!$I$3:$I$139</c:f>
              <c:numCache>
                <c:formatCode>"$"#,##0</c:formatCode>
                <c:ptCount val="10"/>
                <c:pt idx="0">
                  <c:v>320000</c:v>
                </c:pt>
                <c:pt idx="1">
                  <c:v>390000</c:v>
                </c:pt>
                <c:pt idx="2">
                  <c:v>440000</c:v>
                </c:pt>
                <c:pt idx="3">
                  <c:v>245000</c:v>
                </c:pt>
                <c:pt idx="4">
                  <c:v>445000</c:v>
                </c:pt>
                <c:pt idx="5">
                  <c:v>245000</c:v>
                </c:pt>
                <c:pt idx="6">
                  <c:v>425000</c:v>
                </c:pt>
                <c:pt idx="7">
                  <c:v>320000</c:v>
                </c:pt>
                <c:pt idx="8">
                  <c:v>385000</c:v>
                </c:pt>
                <c:pt idx="9">
                  <c:v>575000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19-6241-8693-FB569654C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896072"/>
        <c:axId val="47283208"/>
      </c:lineChart>
      <c:dateAx>
        <c:axId val="3189607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83208"/>
        <c:crosses val="autoZero"/>
        <c:auto val="1"/>
        <c:lblOffset val="100"/>
        <c:baseTimeUnit val="days"/>
      </c:dateAx>
      <c:valAx>
        <c:axId val="47283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96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[Tung.Bach.Bui-EX2021-SkillReview-5-2.xlsx]Sheet2!PivotTable2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26159230096238"/>
          <c:y val="7.407407407407407E-2"/>
          <c:w val="0.49617716535433071"/>
          <c:h val="0.543641003207932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Amount to Borrow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By Owner</c:v>
                </c:pt>
                <c:pt idx="1">
                  <c:v>If you can afford this loan:</c:v>
                </c:pt>
                <c:pt idx="2">
                  <c:v>Near Schools</c:v>
                </c:pt>
                <c:pt idx="3">
                  <c:v>Yes</c:v>
                </c:pt>
                <c:pt idx="4">
                  <c:v>Youngston</c:v>
                </c:pt>
              </c:strCache>
            </c:strRef>
          </c:cat>
          <c:val>
            <c:numRef>
              <c:f>Sheet2!$B$5:$B$10</c:f>
              <c:numCache>
                <c:formatCode>"$"#,##0</c:formatCode>
                <c:ptCount val="5"/>
                <c:pt idx="0">
                  <c:v>475000</c:v>
                </c:pt>
                <c:pt idx="1">
                  <c:v>366250</c:v>
                </c:pt>
                <c:pt idx="2">
                  <c:v>415500</c:v>
                </c:pt>
                <c:pt idx="3">
                  <c:v>390555.55555555556</c:v>
                </c:pt>
                <c:pt idx="4">
                  <c:v>408636.36363636365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2-E544-A6E3-BF5DA70D85E9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Loan Payment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By Owner</c:v>
                </c:pt>
                <c:pt idx="1">
                  <c:v>If you can afford this loan:</c:v>
                </c:pt>
                <c:pt idx="2">
                  <c:v>Near Schools</c:v>
                </c:pt>
                <c:pt idx="3">
                  <c:v>Yes</c:v>
                </c:pt>
                <c:pt idx="4">
                  <c:v>Youngston</c:v>
                </c:pt>
              </c:strCache>
            </c:strRef>
          </c:cat>
          <c:val>
            <c:numRef>
              <c:f>Sheet2!$C$5:$C$10</c:f>
              <c:numCache>
                <c:formatCode>"$"#,##0</c:formatCode>
                <c:ptCount val="5"/>
                <c:pt idx="0">
                  <c:v>434000</c:v>
                </c:pt>
                <c:pt idx="1">
                  <c:v>396666.66666666669</c:v>
                </c:pt>
                <c:pt idx="2">
                  <c:v>461250</c:v>
                </c:pt>
                <c:pt idx="3">
                  <c:v>447857.14285714284</c:v>
                </c:pt>
                <c:pt idx="4">
                  <c:v>505000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62-E544-A6E3-BF5DA70D85E9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By Owner</c:v>
                </c:pt>
                <c:pt idx="1">
                  <c:v>If you can afford this loan:</c:v>
                </c:pt>
                <c:pt idx="2">
                  <c:v>Near Schools</c:v>
                </c:pt>
                <c:pt idx="3">
                  <c:v>Yes</c:v>
                </c:pt>
                <c:pt idx="4">
                  <c:v>Youngston</c:v>
                </c:pt>
              </c:strCache>
            </c:strRef>
          </c:cat>
          <c:val>
            <c:numRef>
              <c:f>Sheet2!$D$5:$D$10</c:f>
              <c:numCache>
                <c:formatCode>"$"#,##0</c:formatCode>
                <c:ptCount val="5"/>
                <c:pt idx="0">
                  <c:v>328000</c:v>
                </c:pt>
                <c:pt idx="1">
                  <c:v>453214.28571428574</c:v>
                </c:pt>
                <c:pt idx="2">
                  <c:v>423333.33333333331</c:v>
                </c:pt>
                <c:pt idx="3">
                  <c:v>423000</c:v>
                </c:pt>
                <c:pt idx="4">
                  <c:v>366500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62-E544-A6E3-BF5DA70D85E9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You can borrow this much: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By Owner</c:v>
                </c:pt>
                <c:pt idx="1">
                  <c:v>If you can afford this loan:</c:v>
                </c:pt>
                <c:pt idx="2">
                  <c:v>Near Schools</c:v>
                </c:pt>
                <c:pt idx="3">
                  <c:v>Yes</c:v>
                </c:pt>
                <c:pt idx="4">
                  <c:v>Youngston</c:v>
                </c:pt>
              </c:strCache>
            </c:strRef>
          </c:cat>
          <c:val>
            <c:numRef>
              <c:f>Sheet2!$E$5:$E$10</c:f>
              <c:numCache>
                <c:formatCode>"$"#,##0</c:formatCode>
                <c:ptCount val="5"/>
                <c:pt idx="0">
                  <c:v>356250</c:v>
                </c:pt>
                <c:pt idx="1">
                  <c:v>397500</c:v>
                </c:pt>
                <c:pt idx="2">
                  <c:v>428125</c:v>
                </c:pt>
                <c:pt idx="4">
                  <c:v>416250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62-E544-A6E3-BF5DA70D8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75368959"/>
        <c:axId val="1758515583"/>
      </c:barChart>
      <c:catAx>
        <c:axId val="1875368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515583"/>
        <c:crosses val="autoZero"/>
        <c:auto val="1"/>
        <c:lblAlgn val="ctr"/>
        <c:lblOffset val="100"/>
        <c:noMultiLvlLbl val="0"/>
      </c:catAx>
      <c:valAx>
        <c:axId val="175851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36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A9D23CD-9F17-E544-AA76-104E4B31161C}">
  <sheetPr/>
  <sheetViews>
    <sheetView zoomScale="13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077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CBFCC2-708D-58D8-BCDD-47117D8378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11</xdr:row>
      <xdr:rowOff>146050</xdr:rowOff>
    </xdr:from>
    <xdr:to>
      <xdr:col>5</xdr:col>
      <xdr:colOff>463550</xdr:colOff>
      <xdr:row>35</xdr:row>
      <xdr:rowOff>6350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8391ADAB-8B93-9C58-D7D8-E9A56119A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ngbach Bui" refreshedDate="46286.822138194446" createdVersion="8" refreshedVersion="8" minRefreshableVersion="3" recordCount="138" xr:uid="{5F8135C5-4FAD-2E44-8C27-68F11F36414B}">
  <cacheSource type="worksheet">
    <worksheetSource name="SalesData"/>
  </cacheSource>
  <cacheFields count="12">
    <cacheField name="Date of Purchase" numFmtId="14">
      <sharedItems containsSemiMixedTypes="0" containsNonDate="0" containsDate="1" containsString="0" minDate="2021-04-18T00:00:00" maxDate="2022-03-28T00:00:00"/>
    </cacheField>
    <cacheField name="Agent" numFmtId="0">
      <sharedItems count="5">
        <s v="If you can afford this loan:"/>
        <s v="By Owner"/>
        <s v="Near Schools"/>
        <s v="Youngston"/>
        <s v="Yes"/>
      </sharedItems>
    </cacheField>
    <cacheField name="Buyers" numFmtId="0">
      <sharedItems/>
    </cacheField>
    <cacheField name="House Type" numFmtId="0">
      <sharedItems count="4">
        <s v="You can borrow this much:"/>
        <s v="Loan Payment"/>
        <s v="Rate"/>
        <s v="Amount to Borrow"/>
      </sharedItems>
    </cacheField>
    <cacheField name="Bedrooms" numFmtId="0">
      <sharedItems containsSemiMixedTypes="0" containsString="0" containsNumber="1" containsInteger="1" minValue="1" maxValue="5"/>
    </cacheField>
    <cacheField name="Bathrooms" numFmtId="0">
      <sharedItems containsSemiMixedTypes="0" containsString="0" containsNumber="1" containsInteger="1" minValue="1" maxValue="2"/>
    </cacheField>
    <cacheField name="Fireplace" numFmtId="0">
      <sharedItems/>
    </cacheField>
    <cacheField name="Near Schools" numFmtId="0">
      <sharedItems/>
    </cacheField>
    <cacheField name="Purchase Price" numFmtId="164">
      <sharedItems containsSemiMixedTypes="0" containsString="0" containsNumber="1" containsInteger="1" minValue="225000" maxValue="600000"/>
    </cacheField>
    <cacheField name="Rate" numFmtId="10">
      <sharedItems containsSemiMixedTypes="0" containsString="0" containsNumber="1" minValue="3.2000000000000001E-2" maxValue="4.4999999999999998E-2"/>
    </cacheField>
    <cacheField name="Bank" numFmtId="0">
      <sharedItems/>
    </cacheField>
    <cacheField name="Mortgage Years" numFmtId="0">
      <sharedItems containsSemiMixedTypes="0" containsString="0" containsNumber="1" containsInteger="1" minValue="15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d v="2022-03-27T00:00:00"/>
    <x v="0"/>
    <s v="Childs"/>
    <x v="0"/>
    <n v="4"/>
    <n v="1"/>
    <s v="Mortgage Years"/>
    <s v="Bank"/>
    <n v="445000"/>
    <n v="4.1000000000000002E-2"/>
    <s v="Bytes"/>
    <n v="15"/>
  </r>
  <r>
    <d v="2022-03-27T00:00:00"/>
    <x v="1"/>
    <s v="Collarserdo"/>
    <x v="0"/>
    <n v="3"/>
    <n v="2"/>
    <s v="Mortgage Years"/>
    <s v="Bank"/>
    <n v="320000"/>
    <n v="4.1000000000000002E-2"/>
    <s v="Johnson"/>
    <n v="30"/>
  </r>
  <r>
    <d v="2022-03-27T00:00:00"/>
    <x v="2"/>
    <s v="Pippen"/>
    <x v="1"/>
    <n v="3"/>
    <n v="1"/>
    <s v="Bank"/>
    <s v="Mortgage Years"/>
    <n v="390000"/>
    <n v="4.2999999999999997E-2"/>
    <s v="Scott"/>
    <n v="30"/>
  </r>
  <r>
    <d v="2022-03-27T00:00:00"/>
    <x v="0"/>
    <s v="Withers"/>
    <x v="2"/>
    <n v="4"/>
    <n v="2"/>
    <s v="Mortgage Years"/>
    <s v="Bank"/>
    <n v="425000"/>
    <n v="4.2000000000000003E-2"/>
    <s v="Johnson"/>
    <n v="15"/>
  </r>
  <r>
    <d v="2022-03-27T00:00:00"/>
    <x v="0"/>
    <s v="Perkins"/>
    <x v="2"/>
    <n v="1"/>
    <n v="2"/>
    <s v="Mortgage Years"/>
    <s v="Bank"/>
    <n v="390000"/>
    <n v="3.3000000000000002E-2"/>
    <s v="No"/>
    <n v="15"/>
  </r>
  <r>
    <d v="2022-03-27T00:00:00"/>
    <x v="0"/>
    <s v="Nanowski"/>
    <x v="2"/>
    <n v="1"/>
    <n v="1"/>
    <s v="Mortgage Years"/>
    <s v="Bank"/>
    <n v="575000"/>
    <n v="3.5000000000000003E-2"/>
    <s v="No"/>
    <n v="40"/>
  </r>
  <r>
    <d v="2022-03-27T00:00:00"/>
    <x v="0"/>
    <s v="West"/>
    <x v="2"/>
    <n v="4"/>
    <n v="2"/>
    <s v="Mortgage Years"/>
    <s v="Bank"/>
    <n v="440000"/>
    <n v="3.7999999999999999E-2"/>
    <s v="No"/>
    <n v="15"/>
  </r>
  <r>
    <d v="2022-03-27T00:00:00"/>
    <x v="2"/>
    <s v="Pell"/>
    <x v="2"/>
    <n v="5"/>
    <n v="1"/>
    <s v="Bank"/>
    <s v="Mortgage Years"/>
    <n v="445000"/>
    <n v="0.04"/>
    <s v="Victoria"/>
    <n v="15"/>
  </r>
  <r>
    <d v="2022-03-27T00:00:00"/>
    <x v="3"/>
    <s v="Williams"/>
    <x v="2"/>
    <n v="3"/>
    <n v="1"/>
    <s v="Mortgage Years"/>
    <s v="Bank"/>
    <n v="225000"/>
    <n v="3.9E-2"/>
    <s v="Bytes"/>
    <n v="30"/>
  </r>
  <r>
    <d v="2022-03-27T00:00:00"/>
    <x v="4"/>
    <s v="Condominium"/>
    <x v="2"/>
    <n v="2"/>
    <n v="1"/>
    <s v="Mortgage Years"/>
    <s v="Bank"/>
    <n v="575000"/>
    <n v="3.5999999999999997E-2"/>
    <s v="Bytes"/>
    <n v="30"/>
  </r>
  <r>
    <d v="2022-03-27T00:00:00"/>
    <x v="1"/>
    <s v="Bryant"/>
    <x v="2"/>
    <n v="5"/>
    <n v="2"/>
    <s v="Mortgage Years"/>
    <s v="Bank"/>
    <n v="355000"/>
    <n v="3.2000000000000001E-2"/>
    <s v="Bytes"/>
    <n v="30"/>
  </r>
  <r>
    <d v="2022-03-27T00:00:00"/>
    <x v="0"/>
    <s v="O'Neil"/>
    <x v="3"/>
    <n v="5"/>
    <n v="1"/>
    <s v="Mortgage Years"/>
    <s v="Bank"/>
    <n v="425000"/>
    <n v="4.2999999999999997E-2"/>
    <s v="Victoria"/>
    <n v="30"/>
  </r>
  <r>
    <d v="2022-03-27T00:00:00"/>
    <x v="0"/>
    <s v="Jacobs"/>
    <x v="3"/>
    <n v="2"/>
    <n v="2"/>
    <s v="Bank"/>
    <s v="Mortgage Years"/>
    <n v="390000"/>
    <n v="0.04"/>
    <s v="Victoria"/>
    <n v="15"/>
  </r>
  <r>
    <d v="2022-03-27T00:00:00"/>
    <x v="4"/>
    <s v="Chama"/>
    <x v="3"/>
    <n v="3"/>
    <n v="1"/>
    <s v="Bank"/>
    <s v="Mortgage Years"/>
    <n v="320000"/>
    <n v="4.4999999999999998E-2"/>
    <s v="Bytes"/>
    <n v="30"/>
  </r>
  <r>
    <d v="2022-03-27T00:00:00"/>
    <x v="1"/>
    <s v="Slocum"/>
    <x v="3"/>
    <n v="4"/>
    <n v="1"/>
    <s v="Mortgage Years"/>
    <s v="Bank"/>
    <n v="390000"/>
    <n v="3.3000000000000002E-2"/>
    <s v="Scott"/>
    <n v="30"/>
  </r>
  <r>
    <d v="2022-03-26T00:00:00"/>
    <x v="2"/>
    <s v="Pippen"/>
    <x v="0"/>
    <n v="1"/>
    <n v="2"/>
    <s v="Bank"/>
    <s v="Mortgage Years"/>
    <n v="390000"/>
    <n v="3.9E-2"/>
    <s v="Contemporary"/>
    <n v="30"/>
  </r>
  <r>
    <d v="2022-03-26T00:00:00"/>
    <x v="2"/>
    <s v="Tithers"/>
    <x v="0"/>
    <n v="1"/>
    <n v="2"/>
    <s v="Bank"/>
    <s v="Mortgage Years"/>
    <n v="575000"/>
    <n v="3.4000000000000002E-2"/>
    <s v="No"/>
    <n v="30"/>
  </r>
  <r>
    <d v="2022-03-26T00:00:00"/>
    <x v="2"/>
    <s v="Harris"/>
    <x v="0"/>
    <n v="2"/>
    <n v="1"/>
    <s v="Bank"/>
    <s v="Mortgage Years"/>
    <n v="355000"/>
    <n v="4.4999999999999998E-2"/>
    <s v="Bytes"/>
    <n v="15"/>
  </r>
  <r>
    <d v="2022-03-26T00:00:00"/>
    <x v="2"/>
    <s v="Bergquist"/>
    <x v="0"/>
    <n v="3"/>
    <n v="1"/>
    <s v="Bank"/>
    <s v="Mortgage Years"/>
    <n v="440000"/>
    <n v="3.3000000000000002E-2"/>
    <s v="Victoria"/>
    <n v="40"/>
  </r>
  <r>
    <d v="2022-03-26T00:00:00"/>
    <x v="3"/>
    <s v="Grant"/>
    <x v="0"/>
    <n v="3"/>
    <n v="2"/>
    <s v="Bank"/>
    <s v="Mortgage Years"/>
    <n v="445000"/>
    <n v="4.2999999999999997E-2"/>
    <s v="Bytes"/>
    <n v="15"/>
  </r>
  <r>
    <d v="2022-03-26T00:00:00"/>
    <x v="1"/>
    <s v="Bell"/>
    <x v="0"/>
    <n v="3"/>
    <n v="2"/>
    <s v="Bank"/>
    <s v="Mortgage Years"/>
    <n v="440000"/>
    <n v="3.6999999999999998E-2"/>
    <s v="Bytes"/>
    <n v="40"/>
  </r>
  <r>
    <d v="2022-03-26T00:00:00"/>
    <x v="1"/>
    <s v="Snipes"/>
    <x v="0"/>
    <n v="1"/>
    <n v="2"/>
    <s v="Mortgage Years"/>
    <s v="Bank"/>
    <n v="225000"/>
    <n v="3.6999999999999998E-2"/>
    <s v="Scott"/>
    <n v="30"/>
  </r>
  <r>
    <d v="2022-03-26T00:00:00"/>
    <x v="2"/>
    <s v="Smythe"/>
    <x v="1"/>
    <n v="2"/>
    <n v="2"/>
    <s v="Mortgage Years"/>
    <s v="Bank"/>
    <n v="550000"/>
    <n v="3.6999999999999998E-2"/>
    <s v="No"/>
    <n v="30"/>
  </r>
  <r>
    <d v="2022-03-26T00:00:00"/>
    <x v="4"/>
    <s v="Bryan"/>
    <x v="1"/>
    <n v="5"/>
    <n v="1"/>
    <s v="Bank"/>
    <s v="Mortgage Years"/>
    <n v="550000"/>
    <n v="0.04"/>
    <s v="No"/>
    <n v="30"/>
  </r>
  <r>
    <d v="2022-03-26T00:00:00"/>
    <x v="1"/>
    <s v="Colonial"/>
    <x v="1"/>
    <n v="2"/>
    <n v="2"/>
    <s v="Bank"/>
    <s v="Mortgage Years"/>
    <n v="550000"/>
    <n v="3.3000000000000002E-2"/>
    <s v="Contemporary"/>
    <n v="30"/>
  </r>
  <r>
    <d v="2022-03-26T00:00:00"/>
    <x v="1"/>
    <s v="Nyne"/>
    <x v="1"/>
    <n v="2"/>
    <n v="1"/>
    <s v="Bank"/>
    <s v="Mortgage Years"/>
    <n v="390000"/>
    <n v="3.5000000000000003E-2"/>
    <s v="Contemporary"/>
    <n v="15"/>
  </r>
  <r>
    <d v="2022-03-26T00:00:00"/>
    <x v="0"/>
    <s v="Victor"/>
    <x v="2"/>
    <n v="4"/>
    <n v="1"/>
    <s v="Bank"/>
    <s v="Mortgage Years"/>
    <n v="440000"/>
    <n v="3.5999999999999997E-2"/>
    <s v="No"/>
    <n v="30"/>
  </r>
  <r>
    <d v="2022-03-26T00:00:00"/>
    <x v="0"/>
    <s v="Millhouse"/>
    <x v="2"/>
    <n v="1"/>
    <n v="2"/>
    <s v="Bank"/>
    <s v="Mortgage Years"/>
    <n v="390000"/>
    <n v="3.7999999999999999E-2"/>
    <s v="Victoria"/>
    <n v="30"/>
  </r>
  <r>
    <d v="2022-03-26T00:00:00"/>
    <x v="0"/>
    <s v="Young"/>
    <x v="2"/>
    <n v="5"/>
    <n v="1"/>
    <s v="Mortgage Years"/>
    <s v="Bank"/>
    <n v="440000"/>
    <n v="3.9E-2"/>
    <s v="Bytes"/>
    <n v="40"/>
  </r>
  <r>
    <d v="2022-03-26T00:00:00"/>
    <x v="3"/>
    <s v="Nosmiles"/>
    <x v="2"/>
    <n v="1"/>
    <n v="2"/>
    <s v="Mortgage Years"/>
    <s v="Bank"/>
    <n v="320000"/>
    <n v="3.5000000000000003E-2"/>
    <s v="Victoria"/>
    <n v="40"/>
  </r>
  <r>
    <d v="2022-03-26T00:00:00"/>
    <x v="4"/>
    <s v="Tinker"/>
    <x v="2"/>
    <n v="2"/>
    <n v="1"/>
    <s v="Bank"/>
    <s v="Mortgage Years"/>
    <n v="425000"/>
    <n v="3.5999999999999997E-2"/>
    <s v="Victoria"/>
    <n v="15"/>
  </r>
  <r>
    <d v="2022-03-26T00:00:00"/>
    <x v="4"/>
    <s v="Nations"/>
    <x v="2"/>
    <n v="5"/>
    <n v="1"/>
    <s v="Bank"/>
    <s v="Mortgage Years"/>
    <n v="385000"/>
    <n v="4.1000000000000002E-2"/>
    <s v="Contemporary"/>
    <n v="40"/>
  </r>
  <r>
    <d v="2022-03-26T00:00:00"/>
    <x v="1"/>
    <s v="Holland"/>
    <x v="2"/>
    <n v="1"/>
    <n v="1"/>
    <s v="Bank"/>
    <s v="Mortgage Years"/>
    <n v="385000"/>
    <n v="3.5000000000000003E-2"/>
    <s v="No"/>
    <n v="15"/>
  </r>
  <r>
    <d v="2022-03-26T00:00:00"/>
    <x v="2"/>
    <s v="Ranch"/>
    <x v="3"/>
    <n v="3"/>
    <n v="1"/>
    <s v="Mortgage Years"/>
    <s v="Bank"/>
    <n v="440000"/>
    <n v="4.2000000000000003E-2"/>
    <s v="No"/>
    <n v="30"/>
  </r>
  <r>
    <d v="2022-03-26T00:00:00"/>
    <x v="2"/>
    <s v="Citywide"/>
    <x v="3"/>
    <n v="4"/>
    <n v="1"/>
    <s v="Bank"/>
    <s v="Mortgage Years"/>
    <n v="575000"/>
    <n v="4.4999999999999998E-2"/>
    <s v="Bytes"/>
    <n v="30"/>
  </r>
  <r>
    <d v="2022-03-26T00:00:00"/>
    <x v="2"/>
    <s v="Smith"/>
    <x v="3"/>
    <n v="4"/>
    <n v="1"/>
    <s v="Bank"/>
    <s v="Mortgage Years"/>
    <n v="225000"/>
    <n v="3.5000000000000003E-2"/>
    <s v="Victoria"/>
    <n v="30"/>
  </r>
  <r>
    <d v="2022-03-26T00:00:00"/>
    <x v="2"/>
    <s v="Nettle"/>
    <x v="3"/>
    <n v="2"/>
    <n v="2"/>
    <s v="Bank"/>
    <s v="Mortgage Years"/>
    <n v="385000"/>
    <n v="4.3999999999999997E-2"/>
    <s v="Contemporary"/>
    <n v="30"/>
  </r>
  <r>
    <d v="2022-03-26T00:00:00"/>
    <x v="4"/>
    <s v="Lee"/>
    <x v="3"/>
    <n v="2"/>
    <n v="1"/>
    <s v="Mortgage Years"/>
    <s v="Bank"/>
    <n v="390000"/>
    <n v="4.2000000000000003E-2"/>
    <s v="Bytes"/>
    <n v="30"/>
  </r>
  <r>
    <d v="2022-03-26T00:00:00"/>
    <x v="4"/>
    <s v="Purchase Price"/>
    <x v="3"/>
    <n v="2"/>
    <n v="1"/>
    <s v="Mortgage Years"/>
    <s v="Bank"/>
    <n v="355000"/>
    <n v="3.9E-2"/>
    <s v="Contemporary"/>
    <n v="30"/>
  </r>
  <r>
    <d v="2022-03-03T00:00:00"/>
    <x v="1"/>
    <s v="Nyne"/>
    <x v="0"/>
    <n v="4"/>
    <n v="1"/>
    <s v="Bank"/>
    <s v="Mortgage Years"/>
    <n v="245000"/>
    <n v="3.4000000000000002E-2"/>
    <s v="Scott"/>
    <n v="15"/>
  </r>
  <r>
    <d v="2022-03-03T00:00:00"/>
    <x v="0"/>
    <s v="Slocum"/>
    <x v="1"/>
    <n v="5"/>
    <n v="1"/>
    <s v="Bank"/>
    <s v="Mortgage Years"/>
    <n v="385000"/>
    <n v="3.5000000000000003E-2"/>
    <s v="Bytes"/>
    <n v="30"/>
  </r>
  <r>
    <d v="2022-03-03T00:00:00"/>
    <x v="4"/>
    <s v="Sikes"/>
    <x v="1"/>
    <n v="1"/>
    <n v="2"/>
    <s v="Bank"/>
    <s v="Mortgage Years"/>
    <n v="355000"/>
    <n v="4.1000000000000002E-2"/>
    <s v="Scott"/>
    <n v="30"/>
  </r>
  <r>
    <d v="2022-03-03T00:00:00"/>
    <x v="1"/>
    <s v="Bell"/>
    <x v="1"/>
    <n v="1"/>
    <n v="2"/>
    <s v="Bank"/>
    <s v="Mortgage Years"/>
    <n v="425000"/>
    <n v="3.6999999999999998E-2"/>
    <s v="Contemporary"/>
    <n v="15"/>
  </r>
  <r>
    <d v="2022-03-03T00:00:00"/>
    <x v="0"/>
    <s v="Victor"/>
    <x v="2"/>
    <n v="1"/>
    <n v="1"/>
    <s v="Mortgage Years"/>
    <s v="Bank"/>
    <n v="550000"/>
    <n v="3.5999999999999997E-2"/>
    <s v="Bytes"/>
    <n v="30"/>
  </r>
  <r>
    <d v="2022-03-03T00:00:00"/>
    <x v="0"/>
    <s v="Citywide"/>
    <x v="2"/>
    <n v="1"/>
    <n v="2"/>
    <s v="Bank"/>
    <s v="Mortgage Years"/>
    <n v="385000"/>
    <n v="3.2000000000000001E-2"/>
    <s v="Bytes"/>
    <n v="30"/>
  </r>
  <r>
    <d v="2022-03-03T00:00:00"/>
    <x v="0"/>
    <s v="Henney"/>
    <x v="2"/>
    <n v="4"/>
    <n v="1"/>
    <s v="Bank"/>
    <s v="Mortgage Years"/>
    <n v="550000"/>
    <n v="3.5000000000000003E-2"/>
    <s v="Victoria"/>
    <n v="30"/>
  </r>
  <r>
    <d v="2022-03-03T00:00:00"/>
    <x v="2"/>
    <s v="Downing"/>
    <x v="2"/>
    <n v="4"/>
    <n v="1"/>
    <s v="Bank"/>
    <s v="Mortgage Years"/>
    <n v="425000"/>
    <n v="3.3000000000000002E-2"/>
    <s v="Bytes"/>
    <n v="30"/>
  </r>
  <r>
    <d v="2022-03-03T00:00:00"/>
    <x v="3"/>
    <s v="Willows"/>
    <x v="2"/>
    <n v="1"/>
    <n v="1"/>
    <s v="Bank"/>
    <s v="Mortgage Years"/>
    <n v="385000"/>
    <n v="3.5999999999999997E-2"/>
    <s v="Victoria"/>
    <n v="30"/>
  </r>
  <r>
    <d v="2022-03-03T00:00:00"/>
    <x v="3"/>
    <s v="Na"/>
    <x v="2"/>
    <n v="3"/>
    <n v="2"/>
    <s v="Bank"/>
    <s v="Mortgage Years"/>
    <n v="385000"/>
    <n v="3.9E-2"/>
    <s v="Scott"/>
    <n v="15"/>
  </r>
  <r>
    <d v="2022-03-03T00:00:00"/>
    <x v="4"/>
    <s v="Nettle"/>
    <x v="2"/>
    <n v="2"/>
    <n v="2"/>
    <s v="Bank"/>
    <s v="Mortgage Years"/>
    <n v="445000"/>
    <n v="3.9E-2"/>
    <s v="Scott"/>
    <n v="30"/>
  </r>
  <r>
    <d v="2022-03-03T00:00:00"/>
    <x v="4"/>
    <s v="Hairless"/>
    <x v="2"/>
    <n v="2"/>
    <n v="1"/>
    <s v="Mortgage Years"/>
    <s v="Bank"/>
    <n v="390000"/>
    <n v="3.4000000000000002E-2"/>
    <s v="Johnson"/>
    <n v="15"/>
  </r>
  <r>
    <d v="2022-03-03T00:00:00"/>
    <x v="2"/>
    <s v="People's"/>
    <x v="3"/>
    <n v="1"/>
    <n v="2"/>
    <s v="Bank"/>
    <s v="Mortgage Years"/>
    <n v="575000"/>
    <n v="3.2000000000000001E-2"/>
    <s v="Contemporary"/>
    <n v="15"/>
  </r>
  <r>
    <d v="2022-03-03T00:00:00"/>
    <x v="2"/>
    <s v="Frost"/>
    <x v="3"/>
    <n v="4"/>
    <n v="1"/>
    <s v="Mortgage Years"/>
    <s v="Bank"/>
    <n v="550000"/>
    <n v="4.2000000000000003E-2"/>
    <s v="Bytes"/>
    <n v="30"/>
  </r>
  <r>
    <d v="2022-03-03T00:00:00"/>
    <x v="3"/>
    <s v="Jones"/>
    <x v="3"/>
    <n v="4"/>
    <n v="1"/>
    <s v="Bank"/>
    <s v="Mortgage Years"/>
    <n v="445000"/>
    <n v="3.7999999999999999E-2"/>
    <s v="Johnson"/>
    <n v="40"/>
  </r>
  <r>
    <d v="2022-03-03T00:00:00"/>
    <x v="3"/>
    <s v="Purchase Price"/>
    <x v="3"/>
    <n v="2"/>
    <n v="2"/>
    <s v="Mortgage Years"/>
    <s v="Bank"/>
    <n v="395000"/>
    <n v="3.4000000000000002E-2"/>
    <s v="Contemporary"/>
    <n v="15"/>
  </r>
  <r>
    <d v="2022-03-03T00:00:00"/>
    <x v="4"/>
    <s v="Citizens"/>
    <x v="3"/>
    <n v="2"/>
    <n v="1"/>
    <s v="Bank"/>
    <s v="Mortgage Years"/>
    <n v="395000"/>
    <n v="4.4999999999999998E-2"/>
    <s v="No"/>
    <n v="30"/>
  </r>
  <r>
    <d v="2022-03-03T00:00:00"/>
    <x v="1"/>
    <s v="Weston"/>
    <x v="3"/>
    <n v="3"/>
    <n v="1"/>
    <s v="Mortgage Years"/>
    <s v="Bank"/>
    <n v="445000"/>
    <n v="4.4999999999999998E-2"/>
    <s v="Victoria"/>
    <n v="30"/>
  </r>
  <r>
    <d v="2022-03-03T00:00:00"/>
    <x v="1"/>
    <s v="Roger"/>
    <x v="3"/>
    <n v="2"/>
    <n v="2"/>
    <s v="Bank"/>
    <s v="Mortgage Years"/>
    <n v="575000"/>
    <n v="3.4000000000000002E-2"/>
    <s v="Scott"/>
    <n v="15"/>
  </r>
  <r>
    <d v="2022-01-13T00:00:00"/>
    <x v="0"/>
    <s v="Matherson"/>
    <x v="0"/>
    <n v="3"/>
    <n v="1"/>
    <s v="Mortgage Years"/>
    <s v="Bank"/>
    <n v="225000"/>
    <n v="3.6999999999999998E-2"/>
    <s v="Contemporary"/>
    <n v="30"/>
  </r>
  <r>
    <d v="2022-01-13T00:00:00"/>
    <x v="3"/>
    <s v="Harris"/>
    <x v="1"/>
    <n v="2"/>
    <n v="1"/>
    <s v="Bank"/>
    <s v="Mortgage Years"/>
    <n v="390000"/>
    <n v="3.2000000000000001E-2"/>
    <s v="No"/>
    <n v="30"/>
  </r>
  <r>
    <d v="2022-01-13T00:00:00"/>
    <x v="3"/>
    <s v="Bergquist"/>
    <x v="1"/>
    <n v="5"/>
    <n v="1"/>
    <s v="Bank"/>
    <s v="Mortgage Years"/>
    <n v="550000"/>
    <n v="3.4000000000000002E-2"/>
    <s v="Bytes"/>
    <n v="30"/>
  </r>
  <r>
    <d v="2022-01-13T00:00:00"/>
    <x v="4"/>
    <s v="Pod"/>
    <x v="1"/>
    <n v="2"/>
    <n v="1"/>
    <s v="Bank"/>
    <s v="Mortgage Years"/>
    <n v="425000"/>
    <n v="4.3999999999999997E-2"/>
    <s v="Bytes"/>
    <n v="30"/>
  </r>
  <r>
    <d v="2022-01-13T00:00:00"/>
    <x v="4"/>
    <s v="Citywide"/>
    <x v="1"/>
    <n v="1"/>
    <n v="2"/>
    <s v="Mortgage Years"/>
    <s v="Bank"/>
    <n v="445000"/>
    <n v="0.04"/>
    <s v="Bytes"/>
    <n v="30"/>
  </r>
  <r>
    <d v="2022-01-13T00:00:00"/>
    <x v="0"/>
    <s v="Childs"/>
    <x v="2"/>
    <n v="2"/>
    <n v="2"/>
    <s v="Mortgage Years"/>
    <s v="Bank"/>
    <n v="385000"/>
    <n v="3.9E-2"/>
    <s v="Contemporary"/>
    <n v="40"/>
  </r>
  <r>
    <d v="2022-01-13T00:00:00"/>
    <x v="3"/>
    <s v="Muchley"/>
    <x v="2"/>
    <n v="2"/>
    <n v="2"/>
    <s v="Mortgage Years"/>
    <s v="Bank"/>
    <n v="390000"/>
    <n v="3.5000000000000003E-2"/>
    <s v="Bytes"/>
    <n v="15"/>
  </r>
  <r>
    <d v="2022-01-13T00:00:00"/>
    <x v="3"/>
    <s v="Nagasaki"/>
    <x v="2"/>
    <n v="3"/>
    <n v="1"/>
    <s v="Bank"/>
    <s v="Mortgage Years"/>
    <n v="550000"/>
    <n v="4.1000000000000002E-2"/>
    <s v="Victoria"/>
    <n v="30"/>
  </r>
  <r>
    <d v="2022-01-13T00:00:00"/>
    <x v="3"/>
    <s v="Nicks"/>
    <x v="2"/>
    <n v="5"/>
    <n v="2"/>
    <s v="Mortgage Years"/>
    <s v="Bank"/>
    <n v="440000"/>
    <n v="4.2000000000000003E-2"/>
    <s v="No"/>
    <n v="30"/>
  </r>
  <r>
    <d v="2022-01-13T00:00:00"/>
    <x v="1"/>
    <s v="Greenston"/>
    <x v="2"/>
    <n v="2"/>
    <n v="1"/>
    <s v="Mortgage Years"/>
    <s v="Bank"/>
    <n v="225000"/>
    <n v="4.4999999999999998E-2"/>
    <s v="Scott"/>
    <n v="30"/>
  </r>
  <r>
    <d v="2021-09-15T00:00:00"/>
    <x v="0"/>
    <s v="Nelson"/>
    <x v="0"/>
    <n v="2"/>
    <n v="2"/>
    <s v="Bank"/>
    <s v="Mortgage Years"/>
    <n v="320000"/>
    <n v="3.5000000000000003E-2"/>
    <s v="Victoria"/>
    <n v="30"/>
  </r>
  <r>
    <d v="2021-09-15T00:00:00"/>
    <x v="2"/>
    <s v="Smythe"/>
    <x v="0"/>
    <n v="5"/>
    <n v="2"/>
    <s v="Bank"/>
    <s v="Mortgage Years"/>
    <n v="225000"/>
    <n v="3.4000000000000002E-2"/>
    <s v="Victoria"/>
    <n v="15"/>
  </r>
  <r>
    <d v="2021-09-15T00:00:00"/>
    <x v="3"/>
    <s v="Smathers"/>
    <x v="0"/>
    <n v="3"/>
    <n v="2"/>
    <s v="Mortgage Years"/>
    <s v="Bank"/>
    <n v="425000"/>
    <n v="3.9E-2"/>
    <s v="Victoria"/>
    <n v="15"/>
  </r>
  <r>
    <d v="2021-09-15T00:00:00"/>
    <x v="3"/>
    <s v="Bryan"/>
    <x v="0"/>
    <n v="3"/>
    <n v="2"/>
    <s v="Mortgage Years"/>
    <s v="Bank"/>
    <n v="355000"/>
    <n v="3.9E-2"/>
    <s v="No"/>
    <n v="30"/>
  </r>
  <r>
    <d v="2021-09-15T00:00:00"/>
    <x v="1"/>
    <s v="Chipman"/>
    <x v="0"/>
    <n v="4"/>
    <n v="1"/>
    <s v="Bank"/>
    <s v="Mortgage Years"/>
    <n v="245000"/>
    <n v="3.5000000000000003E-2"/>
    <s v="Bytes"/>
    <n v="40"/>
  </r>
  <r>
    <d v="2021-09-15T00:00:00"/>
    <x v="1"/>
    <s v="Kinnon"/>
    <x v="0"/>
    <n v="5"/>
    <n v="1"/>
    <s v="Mortgage Years"/>
    <s v="Bank"/>
    <n v="445000"/>
    <n v="0.04"/>
    <s v="Johnson"/>
    <n v="15"/>
  </r>
  <r>
    <d v="2021-09-15T00:00:00"/>
    <x v="1"/>
    <s v="Colonial"/>
    <x v="0"/>
    <n v="1"/>
    <n v="1"/>
    <s v="Bank"/>
    <s v="Mortgage Years"/>
    <n v="355000"/>
    <n v="4.3999999999999997E-2"/>
    <s v="Bytes"/>
    <n v="30"/>
  </r>
  <r>
    <d v="2021-09-15T00:00:00"/>
    <x v="2"/>
    <s v="Timmerman"/>
    <x v="1"/>
    <n v="4"/>
    <n v="2"/>
    <s v="Mortgage Years"/>
    <s v="Bank"/>
    <n v="355000"/>
    <n v="4.2999999999999997E-2"/>
    <s v="Scott"/>
    <n v="30"/>
  </r>
  <r>
    <d v="2021-09-15T00:00:00"/>
    <x v="4"/>
    <s v="Grant"/>
    <x v="1"/>
    <n v="2"/>
    <n v="2"/>
    <s v="Bank"/>
    <s v="Mortgage Years"/>
    <n v="550000"/>
    <n v="4.2999999999999997E-2"/>
    <s v="Contemporary"/>
    <n v="30"/>
  </r>
  <r>
    <d v="2021-09-15T00:00:00"/>
    <x v="1"/>
    <s v="Citywide"/>
    <x v="1"/>
    <n v="1"/>
    <n v="2"/>
    <s v="Mortgage Years"/>
    <s v="Bank"/>
    <n v="425000"/>
    <n v="4.2000000000000003E-2"/>
    <s v="No"/>
    <n v="30"/>
  </r>
  <r>
    <d v="2021-09-15T00:00:00"/>
    <x v="1"/>
    <s v="Chipman"/>
    <x v="1"/>
    <n v="1"/>
    <n v="2"/>
    <s v="Mortgage Years"/>
    <s v="Bank"/>
    <n v="225000"/>
    <n v="3.4000000000000002E-2"/>
    <s v="Scott"/>
    <n v="30"/>
  </r>
  <r>
    <d v="2021-09-15T00:00:00"/>
    <x v="2"/>
    <s v="Nagato"/>
    <x v="2"/>
    <n v="4"/>
    <n v="2"/>
    <s v="Mortgage Years"/>
    <s v="Bank"/>
    <n v="320000"/>
    <n v="3.9E-2"/>
    <s v="Bytes"/>
    <n v="30"/>
  </r>
  <r>
    <d v="2021-09-15T00:00:00"/>
    <x v="4"/>
    <s v="Wilson"/>
    <x v="2"/>
    <n v="5"/>
    <n v="2"/>
    <s v="Mortgage Years"/>
    <s v="Bank"/>
    <n v="320000"/>
    <n v="3.9E-2"/>
    <s v="Contemporary"/>
    <n v="30"/>
  </r>
  <r>
    <d v="2021-09-15T00:00:00"/>
    <x v="3"/>
    <s v="Cowoart"/>
    <x v="3"/>
    <n v="2"/>
    <n v="1"/>
    <s v="Mortgage Years"/>
    <s v="Bank"/>
    <n v="245000"/>
    <n v="3.4000000000000002E-2"/>
    <s v="Scott"/>
    <n v="30"/>
  </r>
  <r>
    <d v="2021-09-15T00:00:00"/>
    <x v="3"/>
    <s v="Thatcher"/>
    <x v="3"/>
    <n v="3"/>
    <n v="1"/>
    <s v="Bank"/>
    <s v="Mortgage Years"/>
    <n v="245000"/>
    <n v="3.3000000000000002E-2"/>
    <s v="Victoria"/>
    <n v="40"/>
  </r>
  <r>
    <d v="2021-09-15T00:00:00"/>
    <x v="4"/>
    <s v="Perry"/>
    <x v="3"/>
    <n v="3"/>
    <n v="2"/>
    <s v="Bank"/>
    <s v="Mortgage Years"/>
    <n v="440000"/>
    <n v="3.7999999999999999E-2"/>
    <s v="Contemporary"/>
    <n v="30"/>
  </r>
  <r>
    <d v="2021-09-15T00:00:00"/>
    <x v="4"/>
    <s v="Lonsdale"/>
    <x v="3"/>
    <n v="4"/>
    <n v="1"/>
    <s v="Bank"/>
    <s v="Mortgage Years"/>
    <n v="440000"/>
    <n v="4.2999999999999997E-2"/>
    <s v="No"/>
    <n v="30"/>
  </r>
  <r>
    <d v="2021-09-13T00:00:00"/>
    <x v="2"/>
    <s v="Smithers"/>
    <x v="0"/>
    <n v="1"/>
    <n v="1"/>
    <s v="Bank"/>
    <s v="Mortgage Years"/>
    <n v="440000"/>
    <n v="3.5000000000000003E-2"/>
    <s v="Contemporary"/>
    <n v="40"/>
  </r>
  <r>
    <d v="2021-09-13T00:00:00"/>
    <x v="3"/>
    <s v="Sikes"/>
    <x v="0"/>
    <n v="5"/>
    <n v="2"/>
    <s v="Mortgage Years"/>
    <s v="Bank"/>
    <n v="440000"/>
    <n v="3.9E-2"/>
    <s v="Contemporary"/>
    <n v="30"/>
  </r>
  <r>
    <d v="2021-09-13T00:00:00"/>
    <x v="0"/>
    <s v="Watkins"/>
    <x v="1"/>
    <n v="4"/>
    <n v="2"/>
    <s v="Mortgage Years"/>
    <s v="Bank"/>
    <n v="440000"/>
    <n v="3.6999999999999998E-2"/>
    <s v="Victoria"/>
    <n v="30"/>
  </r>
  <r>
    <d v="2021-09-13T00:00:00"/>
    <x v="0"/>
    <s v="Taylor"/>
    <x v="1"/>
    <n v="3"/>
    <n v="1"/>
    <s v="Mortgage Years"/>
    <s v="Bank"/>
    <n v="245000"/>
    <n v="3.5999999999999997E-2"/>
    <s v="Scott"/>
    <n v="30"/>
  </r>
  <r>
    <d v="2021-09-13T00:00:00"/>
    <x v="3"/>
    <s v="Smithers"/>
    <x v="1"/>
    <n v="1"/>
    <n v="1"/>
    <s v="Bank"/>
    <s v="Mortgage Years"/>
    <n v="575000"/>
    <n v="3.7999999999999999E-2"/>
    <s v="No"/>
    <n v="30"/>
  </r>
  <r>
    <d v="2021-09-13T00:00:00"/>
    <x v="1"/>
    <s v="Kinnon"/>
    <x v="1"/>
    <n v="2"/>
    <n v="2"/>
    <s v="Mortgage Years"/>
    <s v="Bank"/>
    <n v="390000"/>
    <n v="4.1000000000000002E-2"/>
    <s v="Contemporary"/>
    <n v="30"/>
  </r>
  <r>
    <d v="2021-09-13T00:00:00"/>
    <x v="0"/>
    <s v="Vu"/>
    <x v="2"/>
    <n v="5"/>
    <n v="1"/>
    <s v="Mortgage Years"/>
    <s v="Bank"/>
    <n v="575000"/>
    <n v="3.9E-2"/>
    <s v="Johnson"/>
    <n v="30"/>
  </r>
  <r>
    <d v="2021-09-13T00:00:00"/>
    <x v="2"/>
    <s v="Nelson"/>
    <x v="2"/>
    <n v="3"/>
    <n v="2"/>
    <s v="Bank"/>
    <s v="Mortgage Years"/>
    <n v="550000"/>
    <n v="3.2000000000000001E-2"/>
    <s v="Bytes"/>
    <n v="30"/>
  </r>
  <r>
    <d v="2021-09-13T00:00:00"/>
    <x v="2"/>
    <s v="Remax"/>
    <x v="2"/>
    <n v="3"/>
    <n v="1"/>
    <s v="Bank"/>
    <s v="Mortgage Years"/>
    <n v="445000"/>
    <n v="3.7999999999999999E-2"/>
    <s v="Johnson"/>
    <n v="30"/>
  </r>
  <r>
    <d v="2021-09-13T00:00:00"/>
    <x v="3"/>
    <s v="Cater"/>
    <x v="2"/>
    <n v="5"/>
    <n v="1"/>
    <s v="Mortgage Years"/>
    <s v="Bank"/>
    <n v="225000"/>
    <n v="4.4999999999999998E-2"/>
    <s v="No"/>
    <n v="30"/>
  </r>
  <r>
    <d v="2021-09-13T00:00:00"/>
    <x v="4"/>
    <s v="Citywide"/>
    <x v="2"/>
    <n v="3"/>
    <n v="1"/>
    <s v="Bank"/>
    <s v="Mortgage Years"/>
    <n v="425000"/>
    <n v="0.04"/>
    <s v="Johnson"/>
    <n v="40"/>
  </r>
  <r>
    <d v="2021-09-13T00:00:00"/>
    <x v="2"/>
    <s v="Bond"/>
    <x v="3"/>
    <n v="1"/>
    <n v="1"/>
    <s v="Mortgage Years"/>
    <s v="Bank"/>
    <n v="320000"/>
    <n v="3.2000000000000001E-2"/>
    <s v="Contemporary"/>
    <n v="40"/>
  </r>
  <r>
    <d v="2021-09-13T00:00:00"/>
    <x v="3"/>
    <s v="Zimmerman"/>
    <x v="3"/>
    <n v="1"/>
    <n v="2"/>
    <s v="Mortgage Years"/>
    <s v="Bank"/>
    <n v="390000"/>
    <n v="3.6999999999999998E-2"/>
    <s v="Contemporary"/>
    <n v="15"/>
  </r>
  <r>
    <d v="2021-09-13T00:00:00"/>
    <x v="1"/>
    <s v="Bank Of America"/>
    <x v="3"/>
    <n v="5"/>
    <n v="1"/>
    <s v="Bank"/>
    <s v="Mortgage Years"/>
    <n v="390000"/>
    <n v="4.2000000000000003E-2"/>
    <s v="Contemporary"/>
    <n v="30"/>
  </r>
  <r>
    <d v="2021-07-14T00:00:00"/>
    <x v="0"/>
    <s v="O'Neil"/>
    <x v="0"/>
    <n v="4"/>
    <n v="2"/>
    <s v="Bank"/>
    <s v="Mortgage Years"/>
    <n v="600000"/>
    <n v="3.2500000000000001E-2"/>
    <s v="Johnson"/>
    <n v="40"/>
  </r>
  <r>
    <d v="2021-07-14T00:00:00"/>
    <x v="2"/>
    <s v="Timmerman"/>
    <x v="0"/>
    <n v="5"/>
    <n v="1"/>
    <s v="Mortgage Years"/>
    <s v="Bank"/>
    <n v="425000"/>
    <n v="3.5000000000000003E-2"/>
    <s v="Bytes"/>
    <n v="30"/>
  </r>
  <r>
    <d v="2021-07-14T00:00:00"/>
    <x v="0"/>
    <s v="Charleson"/>
    <x v="1"/>
    <n v="5"/>
    <n v="1"/>
    <s v="Bank"/>
    <s v="Mortgage Years"/>
    <n v="550000"/>
    <n v="4.4999999999999998E-2"/>
    <s v="Contemporary"/>
    <n v="15"/>
  </r>
  <r>
    <d v="2021-07-14T00:00:00"/>
    <x v="0"/>
    <s v="Hawkins"/>
    <x v="1"/>
    <n v="3"/>
    <n v="2"/>
    <s v="Bank"/>
    <s v="Mortgage Years"/>
    <n v="405000"/>
    <n v="3.5000000000000003E-2"/>
    <s v="Victoria"/>
    <n v="15"/>
  </r>
  <r>
    <d v="2021-07-14T00:00:00"/>
    <x v="2"/>
    <s v="Tithers"/>
    <x v="1"/>
    <n v="5"/>
    <n v="1"/>
    <s v="Bank"/>
    <s v="Mortgage Years"/>
    <n v="550000"/>
    <n v="3.5000000000000003E-2"/>
    <s v="Johnson"/>
    <n v="30"/>
  </r>
  <r>
    <d v="2021-07-14T00:00:00"/>
    <x v="1"/>
    <s v="Snipes"/>
    <x v="1"/>
    <n v="1"/>
    <n v="1"/>
    <s v="Mortgage Years"/>
    <s v="Bank"/>
    <n v="550000"/>
    <n v="4.4999999999999998E-2"/>
    <s v="Scott"/>
    <n v="40"/>
  </r>
  <r>
    <d v="2021-07-14T00:00:00"/>
    <x v="1"/>
    <s v="Charleson"/>
    <x v="1"/>
    <n v="5"/>
    <n v="2"/>
    <s v="Bank"/>
    <s v="Mortgage Years"/>
    <n v="575000"/>
    <n v="3.5000000000000003E-2"/>
    <s v="No"/>
    <n v="30"/>
  </r>
  <r>
    <d v="2021-07-14T00:00:00"/>
    <x v="1"/>
    <s v="Bennett"/>
    <x v="1"/>
    <n v="3"/>
    <n v="1"/>
    <s v="Bank"/>
    <s v="Mortgage Years"/>
    <n v="425000"/>
    <n v="4.1000000000000002E-2"/>
    <s v="Contemporary"/>
    <n v="30"/>
  </r>
  <r>
    <d v="2021-07-14T00:00:00"/>
    <x v="2"/>
    <s v="O'Neil"/>
    <x v="2"/>
    <n v="5"/>
    <n v="1"/>
    <s v="Mortgage Years"/>
    <s v="Bank"/>
    <n v="355000"/>
    <n v="4.4999999999999998E-2"/>
    <s v="Victoria"/>
    <n v="30"/>
  </r>
  <r>
    <d v="2021-07-14T00:00:00"/>
    <x v="3"/>
    <s v="Negreedy"/>
    <x v="2"/>
    <n v="5"/>
    <n v="1"/>
    <s v="Mortgage Years"/>
    <s v="Bank"/>
    <n v="320000"/>
    <n v="4.2000000000000003E-2"/>
    <s v="Contemporary"/>
    <n v="15"/>
  </r>
  <r>
    <d v="2021-07-14T00:00:00"/>
    <x v="3"/>
    <s v="King"/>
    <x v="2"/>
    <n v="5"/>
    <n v="2"/>
    <s v="Bank"/>
    <s v="Mortgage Years"/>
    <n v="425000"/>
    <n v="3.2000000000000001E-2"/>
    <s v="Victoria"/>
    <n v="30"/>
  </r>
  <r>
    <d v="2021-07-14T00:00:00"/>
    <x v="4"/>
    <s v="Melon"/>
    <x v="2"/>
    <n v="5"/>
    <n v="2"/>
    <s v="Bank"/>
    <s v="Mortgage Years"/>
    <n v="445000"/>
    <n v="3.4000000000000002E-2"/>
    <s v="Scott"/>
    <n v="15"/>
  </r>
  <r>
    <d v="2021-07-14T00:00:00"/>
    <x v="1"/>
    <s v="Sanchaz"/>
    <x v="2"/>
    <n v="3"/>
    <n v="1"/>
    <s v="Bank"/>
    <s v="Mortgage Years"/>
    <n v="320000"/>
    <n v="4.4999999999999998E-2"/>
    <s v="Bytes"/>
    <n v="30"/>
  </r>
  <r>
    <d v="2021-07-14T00:00:00"/>
    <x v="0"/>
    <s v="Newman"/>
    <x v="3"/>
    <n v="3"/>
    <n v="2"/>
    <s v="Bank"/>
    <s v="Mortgage Years"/>
    <n v="225000"/>
    <n v="4.2999999999999997E-2"/>
    <s v="Bytes"/>
    <n v="40"/>
  </r>
  <r>
    <d v="2021-07-14T00:00:00"/>
    <x v="3"/>
    <s v="Bank Of America"/>
    <x v="3"/>
    <n v="2"/>
    <n v="2"/>
    <s v="Mortgage Years"/>
    <s v="Bank"/>
    <n v="550000"/>
    <n v="4.2000000000000003E-2"/>
    <s v="Scott"/>
    <n v="30"/>
  </r>
  <r>
    <d v="2021-07-14T00:00:00"/>
    <x v="3"/>
    <s v="Castle"/>
    <x v="3"/>
    <n v="2"/>
    <n v="1"/>
    <s v="Bank"/>
    <s v="Mortgage Years"/>
    <n v="440000"/>
    <n v="4.2000000000000003E-2"/>
    <s v="Johnson"/>
    <n v="15"/>
  </r>
  <r>
    <d v="2021-07-14T00:00:00"/>
    <x v="3"/>
    <s v="Tinkleman"/>
    <x v="3"/>
    <n v="2"/>
    <n v="1"/>
    <s v="Mortgage Years"/>
    <s v="Bank"/>
    <n v="575000"/>
    <n v="4.1000000000000002E-2"/>
    <s v="Scott"/>
    <n v="30"/>
  </r>
  <r>
    <d v="2021-07-14T00:00:00"/>
    <x v="4"/>
    <s v="Citywide"/>
    <x v="3"/>
    <n v="3"/>
    <n v="1"/>
    <s v="Bank"/>
    <s v="Mortgage Years"/>
    <n v="245000"/>
    <n v="4.2000000000000003E-2"/>
    <s v="Johnson"/>
    <n v="30"/>
  </r>
  <r>
    <d v="2021-04-18T00:00:00"/>
    <x v="2"/>
    <s v="Pod"/>
    <x v="0"/>
    <n v="5"/>
    <n v="1"/>
    <s v="Bank"/>
    <s v="Mortgage Years"/>
    <n v="575000"/>
    <n v="3.9E-2"/>
    <s v="Bytes"/>
    <n v="15"/>
  </r>
  <r>
    <d v="2021-04-18T00:00:00"/>
    <x v="1"/>
    <s v="Citywide"/>
    <x v="0"/>
    <n v="1"/>
    <n v="2"/>
    <s v="Bank"/>
    <s v="Mortgage Years"/>
    <n v="575000"/>
    <n v="4.3999999999999997E-2"/>
    <s v="Contemporary"/>
    <n v="30"/>
  </r>
  <r>
    <d v="2021-04-18T00:00:00"/>
    <x v="0"/>
    <s v="Na"/>
    <x v="1"/>
    <n v="3"/>
    <n v="1"/>
    <s v="Mortgage Years"/>
    <s v="Bank"/>
    <n v="355000"/>
    <n v="0.04"/>
    <s v="Victoria"/>
    <n v="15"/>
  </r>
  <r>
    <d v="2021-04-18T00:00:00"/>
    <x v="4"/>
    <s v="Smathers"/>
    <x v="1"/>
    <n v="4"/>
    <n v="1"/>
    <s v="Mortgage Years"/>
    <s v="Bank"/>
    <n v="385000"/>
    <n v="3.5000000000000003E-2"/>
    <s v="No"/>
    <n v="15"/>
  </r>
  <r>
    <d v="2021-04-18T00:00:00"/>
    <x v="4"/>
    <s v="Able"/>
    <x v="1"/>
    <n v="4"/>
    <n v="1"/>
    <s v="Bank"/>
    <s v="Mortgage Years"/>
    <n v="425000"/>
    <n v="4.2000000000000003E-2"/>
    <s v="Bytes"/>
    <n v="30"/>
  </r>
  <r>
    <d v="2021-04-18T00:00:00"/>
    <x v="1"/>
    <s v="Collarserdo"/>
    <x v="1"/>
    <n v="4"/>
    <n v="1"/>
    <s v="Mortgage Years"/>
    <s v="Bank"/>
    <n v="385000"/>
    <n v="3.7999999999999999E-2"/>
    <s v="Contemporary"/>
    <n v="40"/>
  </r>
  <r>
    <d v="2021-04-18T00:00:00"/>
    <x v="0"/>
    <s v="Xavier"/>
    <x v="2"/>
    <n v="5"/>
    <n v="2"/>
    <s v="Bank"/>
    <s v="Mortgage Years"/>
    <n v="355000"/>
    <n v="3.2000000000000001E-2"/>
    <s v="No"/>
    <n v="30"/>
  </r>
  <r>
    <d v="2021-04-18T00:00:00"/>
    <x v="0"/>
    <s v="Reynolds"/>
    <x v="2"/>
    <n v="2"/>
    <n v="2"/>
    <s v="Bank"/>
    <s v="Mortgage Years"/>
    <n v="445000"/>
    <n v="3.2000000000000001E-2"/>
    <s v="No"/>
    <n v="30"/>
  </r>
  <r>
    <d v="2021-04-18T00:00:00"/>
    <x v="4"/>
    <s v="Citizens"/>
    <x v="2"/>
    <n v="5"/>
    <n v="2"/>
    <s v="Bank"/>
    <s v="Mortgage Years"/>
    <n v="245000"/>
    <n v="0.04"/>
    <s v="No"/>
    <n v="15"/>
  </r>
  <r>
    <d v="2021-04-18T00:00:00"/>
    <x v="4"/>
    <s v="Century 21"/>
    <x v="2"/>
    <n v="3"/>
    <n v="1"/>
    <s v="Bank"/>
    <s v="Mortgage Years"/>
    <n v="575000"/>
    <n v="4.1000000000000002E-2"/>
    <s v="Johnson"/>
    <n v="30"/>
  </r>
  <r>
    <d v="2021-04-18T00:00:00"/>
    <x v="1"/>
    <s v="Ace"/>
    <x v="2"/>
    <n v="5"/>
    <n v="2"/>
    <s v="Bank"/>
    <s v="Mortgage Years"/>
    <n v="355000"/>
    <n v="4.4999999999999998E-2"/>
    <s v="Bytes"/>
    <n v="40"/>
  </r>
  <r>
    <d v="2021-04-18T00:00:00"/>
    <x v="0"/>
    <s v="Chipman"/>
    <x v="3"/>
    <n v="1"/>
    <n v="2"/>
    <s v="Mortgage Years"/>
    <s v="Bank"/>
    <n v="425000"/>
    <n v="4.1000000000000002E-2"/>
    <s v="Scott"/>
    <n v="40"/>
  </r>
  <r>
    <d v="2021-04-18T00:00:00"/>
    <x v="2"/>
    <s v="Frost"/>
    <x v="3"/>
    <n v="3"/>
    <n v="1"/>
    <s v="Bank"/>
    <s v="Mortgage Years"/>
    <n v="445000"/>
    <n v="3.6999999999999998E-2"/>
    <s v="Bytes"/>
    <n v="30"/>
  </r>
  <r>
    <d v="2021-04-18T00:00:00"/>
    <x v="2"/>
    <s v="Grande"/>
    <x v="3"/>
    <n v="5"/>
    <n v="2"/>
    <s v="Bank"/>
    <s v="Mortgage Years"/>
    <n v="395000"/>
    <n v="3.3000000000000002E-2"/>
    <s v="Contemporary"/>
    <n v="40"/>
  </r>
  <r>
    <d v="2021-04-18T00:00:00"/>
    <x v="2"/>
    <s v="First Federal"/>
    <x v="3"/>
    <n v="2"/>
    <n v="1"/>
    <s v="Mortgage Years"/>
    <s v="Bank"/>
    <n v="245000"/>
    <n v="3.5999999999999997E-2"/>
    <s v="Victoria"/>
    <n v="30"/>
  </r>
  <r>
    <d v="2021-04-18T00:00:00"/>
    <x v="3"/>
    <s v="Homes and Garden"/>
    <x v="3"/>
    <n v="1"/>
    <n v="2"/>
    <s v="Bank"/>
    <s v="Mortgage Years"/>
    <n v="320000"/>
    <n v="3.6999999999999998E-2"/>
    <s v="Contemporary"/>
    <n v="30"/>
  </r>
  <r>
    <d v="2021-04-18T00:00:00"/>
    <x v="3"/>
    <s v="Jackson"/>
    <x v="3"/>
    <n v="2"/>
    <n v="1"/>
    <s v="Bank"/>
    <s v="Mortgage Years"/>
    <n v="445000"/>
    <n v="3.4000000000000002E-2"/>
    <s v="No"/>
    <n v="30"/>
  </r>
  <r>
    <d v="2021-04-18T00:00:00"/>
    <x v="3"/>
    <s v="Zink"/>
    <x v="3"/>
    <n v="4"/>
    <n v="2"/>
    <s v="Mortgage Years"/>
    <s v="Bank"/>
    <n v="445000"/>
    <n v="3.3000000000000002E-2"/>
    <s v="Bytes"/>
    <n v="30"/>
  </r>
  <r>
    <d v="2021-04-18T00:00:00"/>
    <x v="4"/>
    <s v="Muchley"/>
    <x v="3"/>
    <n v="4"/>
    <n v="1"/>
    <s v="Bank"/>
    <s v="Mortgage Years"/>
    <n v="575000"/>
    <n v="3.4000000000000002E-2"/>
    <s v="Contemporary"/>
    <n v="30"/>
  </r>
  <r>
    <d v="2021-04-18T00:00:00"/>
    <x v="4"/>
    <s v="Williman's"/>
    <x v="3"/>
    <n v="3"/>
    <n v="2"/>
    <s v="Bank"/>
    <s v="Mortgage Years"/>
    <n v="355000"/>
    <n v="3.5999999999999997E-2"/>
    <s v="No"/>
    <n v="30"/>
  </r>
  <r>
    <d v="2021-04-18T00:00:00"/>
    <x v="1"/>
    <s v="Muchley"/>
    <x v="3"/>
    <n v="4"/>
    <n v="2"/>
    <s v="Bank"/>
    <s v="Mortgage Years"/>
    <n v="575000"/>
    <n v="0.04"/>
    <s v="Johnson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58EE5-DFF0-B84E-82A7-A7C94B63D240}" name="PivotTable2" cacheId="7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 chartFormat="1">
  <location ref="A3:F10" firstHeaderRow="1" firstDataRow="2" firstDataCol="1"/>
  <pivotFields count="12">
    <pivotField numFmtId="14"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dataField="1" numFmtId="164" showAll="0"/>
    <pivotField numFmtId="10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Purchase Price" fld="8" subtotal="average" baseField="0" baseItem="0" numFmtId="164"/>
  </dataFields>
  <chartFormats count="4"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788DD5-6586-644D-83B4-5C830D1347E6}" name="SalesData" displayName="SalesData" ref="A1:L140" totalsRowCount="1" headerRowDxfId="16" headerRowCellStyle="Normal#NusYdTU/JETrwGhwFZHmSuBW0xsXf4wCJenqu5yfQRg=" dataCellStyle="Normal#NusYdTU/JETrwGhwFZHmSuBW0xsXf4wCJenqu5yfQRg=">
  <autoFilter ref="A1:L139" xr:uid="{9B788DD5-6586-644D-83B4-5C830D1347E6}">
    <filterColumn colId="1">
      <filters>
        <filter val="By Owner"/>
      </filters>
    </filterColumn>
    <filterColumn colId="4">
      <filters>
        <filter val="3"/>
        <filter val="4"/>
      </filters>
    </filterColumn>
  </autoFilter>
  <sortState xmlns:xlrd2="http://schemas.microsoft.com/office/spreadsheetml/2017/richdata2" ref="A2:L139">
    <sortCondition descending="1" ref="A1:A139"/>
  </sortState>
  <tableColumns count="12">
    <tableColumn id="1" xr3:uid="{93562416-6E48-F245-87B3-12E044828288}" name="Date of Purchase" totalsRowLabel="Total" dataDxfId="15" totalsRowDxfId="14" dataCellStyle="Normal#NusYdTU/JETrwGhwFZHmSuBW0xsXf4wCJenqu5yfQRg="/>
    <tableColumn id="2" xr3:uid="{56A1A400-FBDE-6C42-95E8-8E73B9EC669E}" name="Agent" totalsRowDxfId="13" dataCellStyle="Normal#NusYdTU/JETrwGhwFZHmSuBW0xsXf4wCJenqu5yfQRg="/>
    <tableColumn id="3" xr3:uid="{D46A0344-792F-8B43-9B4E-B8DA02F7E92D}" name="Buyers" totalsRowFunction="custom" totalsRowDxfId="12" dataCellStyle="Normal#NusYdTU/JETrwGhwFZHmSuBW0xsXf4wCJenqu5yfQRg=">
      <totalsRowFormula>SUBTOTAL(102,C2:C139)</totalsRowFormula>
    </tableColumn>
    <tableColumn id="4" xr3:uid="{34624C44-2BCE-1B47-B249-5633755145C5}" name="House Type" dataDxfId="11" totalsRowDxfId="10" dataCellStyle="Normal#NusYdTU/JETrwGhwFZHmSuBW0xsXf4wCJenqu5yfQRg="/>
    <tableColumn id="5" xr3:uid="{78F73503-4660-9846-8B7E-CFFCD1728A9F}" name="Bedrooms" totalsRowFunction="custom" totalsRowDxfId="9" dataCellStyle="Normal#NusYdTU/JETrwGhwFZHmSuBW0xsXf4wCJenqu5yfQRg=">
      <totalsRowFormula>SUBTOTAL(101,E2:E139)</totalsRowFormula>
    </tableColumn>
    <tableColumn id="6" xr3:uid="{B6B92FA9-2C0A-F74F-B15A-171A702CB9B3}" name="Bathrooms" totalsRowFunction="custom" totalsRowDxfId="8" dataCellStyle="Normal#NusYdTU/JETrwGhwFZHmSuBW0xsXf4wCJenqu5yfQRg=">
      <totalsRowFormula>SUBTOTAL(101,F2:F139)</totalsRowFormula>
    </tableColumn>
    <tableColumn id="7" xr3:uid="{451494D3-DDED-584B-9087-841D4B9FFB6B}" name="Fireplace" totalsRowDxfId="7" dataCellStyle="Normal#NusYdTU/JETrwGhwFZHmSuBW0xsXf4wCJenqu5yfQRg="/>
    <tableColumn id="8" xr3:uid="{C445E7AE-BFB7-D44E-8DCC-D42EC8E91622}" name="Near Schools" totalsRowDxfId="6" dataCellStyle="Normal#NusYdTU/JETrwGhwFZHmSuBW0xsXf4wCJenqu5yfQRg="/>
    <tableColumn id="9" xr3:uid="{40283CA4-B153-5147-89B2-75CFFDA2E516}" name="Purchase Price" totalsRowFunction="custom" dataDxfId="5" totalsRowDxfId="4" dataCellStyle="Normal#NusYdTU/JETrwGhwFZHmSuBW0xsXf4wCJenqu5yfQRg=">
      <totalsRowFormula>SUBTOTAL(101,I2:I139)</totalsRowFormula>
    </tableColumn>
    <tableColumn id="10" xr3:uid="{8D7D9C78-6E8C-194C-9E7F-DB50F895F31D}" name="Rate" totalsRowFunction="custom" dataDxfId="3" totalsRowDxfId="2" dataCellStyle="Percent#AXI/IQ2h0ikHZdUMWYTHJafDb7646BFR3CtDT25qiEs=">
      <totalsRowFormula>SUBTOTAL(101,J2:J139)</totalsRowFormula>
    </tableColumn>
    <tableColumn id="11" xr3:uid="{DB3C41F1-73E9-8143-ACF4-9E01064A8960}" name="Bank" totalsRowDxfId="1" dataCellStyle="Normal#NusYdTU/JETrwGhwFZHmSuBW0xsXf4wCJenqu5yfQRg="/>
    <tableColumn id="12" xr3:uid="{E424D870-086B-9940-890D-C03AD30FC52B}" name="Mortgage Years" totalsRowFunction="custom" totalsRowDxfId="0" dataCellStyle="Normal#NusYdTU/JETrwGhwFZHmSuBW0xsXf4wCJenqu5yfQRg=">
      <totalsRowFormula>SUBTOTAL(101,L2:L139)</totalsRowFormula>
    </tableColumn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63B6-3BD7-494D-9021-4F903375828E}">
  <dimension ref="A3:F10"/>
  <sheetViews>
    <sheetView workbookViewId="0">
      <selection activeCell="B5" sqref="B5"/>
    </sheetView>
  </sheetViews>
  <sheetFormatPr baseColWidth="10" defaultRowHeight="13" x14ac:dyDescent="0.15"/>
  <cols>
    <col min="1" max="1" width="22.1640625" bestFit="1" customWidth="1"/>
    <col min="2" max="2" width="15" bestFit="1" customWidth="1"/>
    <col min="3" max="3" width="12.5" bestFit="1" customWidth="1"/>
    <col min="4" max="4" width="8.6640625" bestFit="1" customWidth="1"/>
    <col min="5" max="5" width="22" bestFit="1" customWidth="1"/>
    <col min="6" max="6" width="10.33203125" bestFit="1" customWidth="1"/>
  </cols>
  <sheetData>
    <row r="3" spans="1:6" x14ac:dyDescent="0.15">
      <c r="A3" s="38" t="s">
        <v>132</v>
      </c>
      <c r="B3" s="35"/>
      <c r="C3" s="36"/>
      <c r="D3" s="36"/>
      <c r="E3" s="36"/>
      <c r="F3" s="37"/>
    </row>
    <row r="4" spans="1:6" x14ac:dyDescent="0.15">
      <c r="A4" s="35"/>
      <c r="B4" s="35" t="s">
        <v>35</v>
      </c>
      <c r="C4" s="46" t="s">
        <v>20</v>
      </c>
      <c r="D4" s="46" t="s">
        <v>9</v>
      </c>
      <c r="E4" s="46" t="s">
        <v>14</v>
      </c>
      <c r="F4" s="39" t="s">
        <v>131</v>
      </c>
    </row>
    <row r="5" spans="1:6" x14ac:dyDescent="0.15">
      <c r="A5" s="40" t="s">
        <v>16</v>
      </c>
      <c r="B5" s="47">
        <v>475000</v>
      </c>
      <c r="C5" s="48">
        <v>434000</v>
      </c>
      <c r="D5" s="48">
        <v>328000</v>
      </c>
      <c r="E5" s="48">
        <v>356250</v>
      </c>
      <c r="F5" s="41">
        <v>400178.57142857142</v>
      </c>
    </row>
    <row r="6" spans="1:6" x14ac:dyDescent="0.15">
      <c r="A6" s="42" t="s">
        <v>12</v>
      </c>
      <c r="B6" s="49">
        <v>366250</v>
      </c>
      <c r="C6" s="50">
        <v>396666.66666666669</v>
      </c>
      <c r="D6" s="50">
        <v>453214.28571428574</v>
      </c>
      <c r="E6" s="50">
        <v>397500</v>
      </c>
      <c r="F6" s="43">
        <v>420714.28571428574</v>
      </c>
    </row>
    <row r="7" spans="1:6" x14ac:dyDescent="0.15">
      <c r="A7" s="42" t="s">
        <v>7</v>
      </c>
      <c r="B7" s="49">
        <v>415500</v>
      </c>
      <c r="C7" s="50">
        <v>461250</v>
      </c>
      <c r="D7" s="50">
        <v>423333.33333333331</v>
      </c>
      <c r="E7" s="50">
        <v>428125</v>
      </c>
      <c r="F7" s="43">
        <v>427321.42857142858</v>
      </c>
    </row>
    <row r="8" spans="1:6" x14ac:dyDescent="0.15">
      <c r="A8" s="42" t="s">
        <v>31</v>
      </c>
      <c r="B8" s="49">
        <v>390555.55555555556</v>
      </c>
      <c r="C8" s="50">
        <v>447857.14285714284</v>
      </c>
      <c r="D8" s="50">
        <v>423000</v>
      </c>
      <c r="E8" s="50"/>
      <c r="F8" s="43">
        <v>418461.53846153844</v>
      </c>
    </row>
    <row r="9" spans="1:6" x14ac:dyDescent="0.15">
      <c r="A9" s="42" t="s">
        <v>29</v>
      </c>
      <c r="B9" s="49">
        <v>408636.36363636365</v>
      </c>
      <c r="C9" s="50">
        <v>505000</v>
      </c>
      <c r="D9" s="50">
        <v>366500</v>
      </c>
      <c r="E9" s="50">
        <v>416250</v>
      </c>
      <c r="F9" s="43">
        <v>405000</v>
      </c>
    </row>
    <row r="10" spans="1:6" x14ac:dyDescent="0.15">
      <c r="A10" s="44" t="s">
        <v>131</v>
      </c>
      <c r="B10" s="51">
        <v>410384.61538461538</v>
      </c>
      <c r="C10" s="52">
        <v>440500</v>
      </c>
      <c r="D10" s="52">
        <v>409333.33333333331</v>
      </c>
      <c r="E10" s="52">
        <v>397083.33333333331</v>
      </c>
      <c r="F10" s="45">
        <v>414275.36231884058</v>
      </c>
    </row>
  </sheetData>
  <pageMargins left="0.7" right="0.7" top="0.75" bottom="0.75" header="0.3" footer="0.3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74E9439C-CBF2-D745-9007-1C443A125E2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Sheet2!B5:E5</xm:f>
              <xm:sqref>G5</xm:sqref>
            </x14:sparkline>
            <x14:sparkline>
              <xm:f>Sheet2!B6:E6</xm:f>
              <xm:sqref>G6</xm:sqref>
            </x14:sparkline>
            <x14:sparkline>
              <xm:f>Sheet2!B7:E7</xm:f>
              <xm:sqref>G7</xm:sqref>
            </x14:sparkline>
            <x14:sparkline>
              <xm:f>Sheet2!B8:E8</xm:f>
              <xm:sqref>G8</xm:sqref>
            </x14:sparkline>
            <x14:sparkline>
              <xm:f>Sheet2!B9:E9</xm:f>
              <xm:sqref>G9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0"/>
  <sheetViews>
    <sheetView workbookViewId="0">
      <selection activeCell="L140" sqref="L140"/>
    </sheetView>
  </sheetViews>
  <sheetFormatPr baseColWidth="10" defaultColWidth="8.83203125" defaultRowHeight="12.75" customHeight="1" x14ac:dyDescent="0.15"/>
  <cols>
    <col min="1" max="1" width="17.5" style="6" customWidth="1"/>
    <col min="2" max="2" width="17.33203125" style="1" bestFit="1" customWidth="1"/>
    <col min="3" max="3" width="10.6640625" style="1" bestFit="1" customWidth="1"/>
    <col min="4" max="4" width="13.1640625" style="1" customWidth="1"/>
    <col min="5" max="5" width="11.83203125" style="1" customWidth="1"/>
    <col min="6" max="6" width="12.33203125" style="1" customWidth="1"/>
    <col min="7" max="7" width="11.1640625" style="1" customWidth="1"/>
    <col min="8" max="8" width="14.5" style="1" customWidth="1"/>
    <col min="9" max="9" width="16.1640625" style="1" customWidth="1"/>
    <col min="11" max="11" width="15.33203125" style="1" bestFit="1" customWidth="1"/>
    <col min="12" max="12" width="16.33203125" style="1" customWidth="1"/>
  </cols>
  <sheetData>
    <row r="1" spans="1:12" ht="13" x14ac:dyDescent="0.15">
      <c r="A1" s="13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4" t="s">
        <v>9</v>
      </c>
      <c r="K1" s="7" t="s">
        <v>10</v>
      </c>
      <c r="L1" s="7" t="s">
        <v>11</v>
      </c>
    </row>
    <row r="2" spans="1:12" ht="13" hidden="1" x14ac:dyDescent="0.15">
      <c r="A2" s="6">
        <v>44647</v>
      </c>
      <c r="B2" s="1" t="s">
        <v>12</v>
      </c>
      <c r="C2" s="1" t="s">
        <v>13</v>
      </c>
      <c r="D2" s="1" t="s">
        <v>14</v>
      </c>
      <c r="E2" s="1">
        <v>4</v>
      </c>
      <c r="F2" s="1">
        <v>1</v>
      </c>
      <c r="G2" s="1" t="s">
        <v>11</v>
      </c>
      <c r="H2" s="1" t="s">
        <v>10</v>
      </c>
      <c r="I2" s="5">
        <v>445000</v>
      </c>
      <c r="J2" s="4">
        <v>4.1000000000000002E-2</v>
      </c>
      <c r="K2" s="1" t="s">
        <v>15</v>
      </c>
      <c r="L2" s="1">
        <v>15</v>
      </c>
    </row>
    <row r="3" spans="1:12" ht="13" x14ac:dyDescent="0.15">
      <c r="A3" s="6">
        <v>44647</v>
      </c>
      <c r="B3" s="1" t="s">
        <v>16</v>
      </c>
      <c r="C3" s="1" t="s">
        <v>17</v>
      </c>
      <c r="D3" s="1" t="s">
        <v>14</v>
      </c>
      <c r="E3" s="1">
        <v>3</v>
      </c>
      <c r="F3" s="1">
        <v>2</v>
      </c>
      <c r="G3" s="1" t="s">
        <v>11</v>
      </c>
      <c r="H3" s="1" t="s">
        <v>10</v>
      </c>
      <c r="I3" s="5">
        <v>320000</v>
      </c>
      <c r="J3" s="4">
        <v>4.1000000000000002E-2</v>
      </c>
      <c r="K3" s="1" t="s">
        <v>18</v>
      </c>
      <c r="L3" s="1">
        <v>30</v>
      </c>
    </row>
    <row r="4" spans="1:12" ht="13" hidden="1" x14ac:dyDescent="0.15">
      <c r="A4" s="6">
        <v>44647</v>
      </c>
      <c r="B4" s="1" t="s">
        <v>7</v>
      </c>
      <c r="C4" s="1" t="s">
        <v>19</v>
      </c>
      <c r="D4" s="1" t="s">
        <v>20</v>
      </c>
      <c r="E4" s="1">
        <v>3</v>
      </c>
      <c r="F4" s="1">
        <v>1</v>
      </c>
      <c r="G4" s="1" t="s">
        <v>10</v>
      </c>
      <c r="H4" s="1" t="s">
        <v>11</v>
      </c>
      <c r="I4" s="5">
        <v>390000</v>
      </c>
      <c r="J4" s="4">
        <v>4.2999999999999997E-2</v>
      </c>
      <c r="K4" s="1" t="s">
        <v>21</v>
      </c>
      <c r="L4" s="1">
        <v>30</v>
      </c>
    </row>
    <row r="5" spans="1:12" ht="13" hidden="1" x14ac:dyDescent="0.15">
      <c r="A5" s="6">
        <v>44647</v>
      </c>
      <c r="B5" s="1" t="s">
        <v>12</v>
      </c>
      <c r="C5" s="1" t="s">
        <v>22</v>
      </c>
      <c r="D5" s="1" t="s">
        <v>9</v>
      </c>
      <c r="E5" s="1">
        <v>4</v>
      </c>
      <c r="F5" s="1">
        <v>2</v>
      </c>
      <c r="G5" s="1" t="s">
        <v>11</v>
      </c>
      <c r="H5" s="1" t="s">
        <v>10</v>
      </c>
      <c r="I5" s="5">
        <v>425000</v>
      </c>
      <c r="J5" s="4">
        <v>4.2000000000000003E-2</v>
      </c>
      <c r="K5" s="1" t="s">
        <v>18</v>
      </c>
      <c r="L5" s="1">
        <v>15</v>
      </c>
    </row>
    <row r="6" spans="1:12" ht="13" hidden="1" x14ac:dyDescent="0.15">
      <c r="A6" s="6">
        <v>44647</v>
      </c>
      <c r="B6" s="1" t="s">
        <v>12</v>
      </c>
      <c r="C6" s="1" t="s">
        <v>23</v>
      </c>
      <c r="D6" s="1" t="s">
        <v>9</v>
      </c>
      <c r="E6" s="1">
        <v>1</v>
      </c>
      <c r="F6" s="1">
        <v>2</v>
      </c>
      <c r="G6" s="1" t="s">
        <v>11</v>
      </c>
      <c r="H6" s="1" t="s">
        <v>10</v>
      </c>
      <c r="I6" s="5">
        <v>390000</v>
      </c>
      <c r="J6" s="4">
        <v>3.3000000000000002E-2</v>
      </c>
      <c r="K6" s="1" t="s">
        <v>24</v>
      </c>
      <c r="L6" s="1">
        <v>15</v>
      </c>
    </row>
    <row r="7" spans="1:12" ht="13" hidden="1" x14ac:dyDescent="0.15">
      <c r="A7" s="6">
        <v>44647</v>
      </c>
      <c r="B7" s="1" t="s">
        <v>12</v>
      </c>
      <c r="C7" s="1" t="s">
        <v>25</v>
      </c>
      <c r="D7" s="1" t="s">
        <v>9</v>
      </c>
      <c r="E7" s="1">
        <v>1</v>
      </c>
      <c r="F7" s="1">
        <v>1</v>
      </c>
      <c r="G7" s="1" t="s">
        <v>11</v>
      </c>
      <c r="H7" s="1" t="s">
        <v>10</v>
      </c>
      <c r="I7" s="5">
        <v>575000</v>
      </c>
      <c r="J7" s="4">
        <v>3.5000000000000003E-2</v>
      </c>
      <c r="K7" s="1" t="s">
        <v>24</v>
      </c>
      <c r="L7" s="1">
        <v>40</v>
      </c>
    </row>
    <row r="8" spans="1:12" ht="13" hidden="1" x14ac:dyDescent="0.15">
      <c r="A8" s="6">
        <v>44647</v>
      </c>
      <c r="B8" s="1" t="s">
        <v>12</v>
      </c>
      <c r="C8" s="1" t="s">
        <v>26</v>
      </c>
      <c r="D8" s="1" t="s">
        <v>9</v>
      </c>
      <c r="E8" s="1">
        <v>4</v>
      </c>
      <c r="F8" s="1">
        <v>2</v>
      </c>
      <c r="G8" s="1" t="s">
        <v>11</v>
      </c>
      <c r="H8" s="1" t="s">
        <v>10</v>
      </c>
      <c r="I8" s="5">
        <v>440000</v>
      </c>
      <c r="J8" s="4">
        <v>3.7999999999999999E-2</v>
      </c>
      <c r="K8" s="1" t="s">
        <v>24</v>
      </c>
      <c r="L8" s="1">
        <v>15</v>
      </c>
    </row>
    <row r="9" spans="1:12" ht="13" hidden="1" x14ac:dyDescent="0.15">
      <c r="A9" s="6">
        <v>44647</v>
      </c>
      <c r="B9" s="1" t="s">
        <v>7</v>
      </c>
      <c r="C9" s="1" t="s">
        <v>27</v>
      </c>
      <c r="D9" s="1" t="s">
        <v>9</v>
      </c>
      <c r="E9" s="1">
        <v>5</v>
      </c>
      <c r="F9" s="1">
        <v>1</v>
      </c>
      <c r="G9" s="1" t="s">
        <v>10</v>
      </c>
      <c r="H9" s="1" t="s">
        <v>11</v>
      </c>
      <c r="I9" s="5">
        <v>445000</v>
      </c>
      <c r="J9" s="4">
        <v>0.04</v>
      </c>
      <c r="K9" s="1" t="s">
        <v>28</v>
      </c>
      <c r="L9" s="1">
        <v>15</v>
      </c>
    </row>
    <row r="10" spans="1:12" ht="13" hidden="1" x14ac:dyDescent="0.15">
      <c r="A10" s="6">
        <v>44647</v>
      </c>
      <c r="B10" s="1" t="s">
        <v>29</v>
      </c>
      <c r="C10" s="1" t="s">
        <v>30</v>
      </c>
      <c r="D10" s="1" t="s">
        <v>9</v>
      </c>
      <c r="E10" s="1">
        <v>3</v>
      </c>
      <c r="F10" s="1">
        <v>1</v>
      </c>
      <c r="G10" s="1" t="s">
        <v>11</v>
      </c>
      <c r="H10" s="1" t="s">
        <v>10</v>
      </c>
      <c r="I10" s="5">
        <v>225000</v>
      </c>
      <c r="J10" s="4">
        <v>3.9E-2</v>
      </c>
      <c r="K10" s="1" t="s">
        <v>15</v>
      </c>
      <c r="L10" s="1">
        <v>30</v>
      </c>
    </row>
    <row r="11" spans="1:12" ht="13" hidden="1" x14ac:dyDescent="0.15">
      <c r="A11" s="6">
        <v>44647</v>
      </c>
      <c r="B11" s="1" t="s">
        <v>31</v>
      </c>
      <c r="C11" s="1" t="s">
        <v>32</v>
      </c>
      <c r="D11" s="1" t="s">
        <v>9</v>
      </c>
      <c r="E11" s="1">
        <v>2</v>
      </c>
      <c r="F11" s="1">
        <v>1</v>
      </c>
      <c r="G11" s="1" t="s">
        <v>11</v>
      </c>
      <c r="H11" s="1" t="s">
        <v>10</v>
      </c>
      <c r="I11" s="5">
        <v>575000</v>
      </c>
      <c r="J11" s="4">
        <v>3.5999999999999997E-2</v>
      </c>
      <c r="K11" s="1" t="s">
        <v>15</v>
      </c>
      <c r="L11" s="1">
        <v>30</v>
      </c>
    </row>
    <row r="12" spans="1:12" ht="13" hidden="1" x14ac:dyDescent="0.15">
      <c r="A12" s="6">
        <v>44647</v>
      </c>
      <c r="B12" s="1" t="s">
        <v>16</v>
      </c>
      <c r="C12" s="1" t="s">
        <v>33</v>
      </c>
      <c r="D12" s="1" t="s">
        <v>9</v>
      </c>
      <c r="E12" s="1">
        <v>5</v>
      </c>
      <c r="F12" s="1">
        <v>2</v>
      </c>
      <c r="G12" s="1" t="s">
        <v>11</v>
      </c>
      <c r="H12" s="1" t="s">
        <v>10</v>
      </c>
      <c r="I12" s="5">
        <v>355000</v>
      </c>
      <c r="J12" s="4">
        <v>3.2000000000000001E-2</v>
      </c>
      <c r="K12" s="1" t="s">
        <v>15</v>
      </c>
      <c r="L12" s="1">
        <v>30</v>
      </c>
    </row>
    <row r="13" spans="1:12" ht="13" hidden="1" x14ac:dyDescent="0.15">
      <c r="A13" s="6">
        <v>44647</v>
      </c>
      <c r="B13" s="1" t="s">
        <v>12</v>
      </c>
      <c r="C13" s="1" t="s">
        <v>34</v>
      </c>
      <c r="D13" s="2" t="s">
        <v>35</v>
      </c>
      <c r="E13" s="1">
        <v>5</v>
      </c>
      <c r="F13" s="1">
        <v>1</v>
      </c>
      <c r="G13" s="1" t="s">
        <v>11</v>
      </c>
      <c r="H13" s="1" t="s">
        <v>10</v>
      </c>
      <c r="I13" s="5">
        <v>425000</v>
      </c>
      <c r="J13" s="4">
        <v>4.2999999999999997E-2</v>
      </c>
      <c r="K13" s="1" t="s">
        <v>28</v>
      </c>
      <c r="L13" s="1">
        <v>30</v>
      </c>
    </row>
    <row r="14" spans="1:12" ht="13" hidden="1" x14ac:dyDescent="0.15">
      <c r="A14" s="6">
        <v>44647</v>
      </c>
      <c r="B14" s="1" t="s">
        <v>12</v>
      </c>
      <c r="C14" s="1" t="s">
        <v>36</v>
      </c>
      <c r="D14" s="2" t="s">
        <v>35</v>
      </c>
      <c r="E14" s="1">
        <v>2</v>
      </c>
      <c r="F14" s="1">
        <v>2</v>
      </c>
      <c r="G14" s="1" t="s">
        <v>10</v>
      </c>
      <c r="H14" s="1" t="s">
        <v>11</v>
      </c>
      <c r="I14" s="5">
        <v>390000</v>
      </c>
      <c r="J14" s="4">
        <v>0.04</v>
      </c>
      <c r="K14" s="1" t="s">
        <v>28</v>
      </c>
      <c r="L14" s="1">
        <v>15</v>
      </c>
    </row>
    <row r="15" spans="1:12" ht="13" hidden="1" x14ac:dyDescent="0.15">
      <c r="A15" s="6">
        <v>44647</v>
      </c>
      <c r="B15" s="1" t="s">
        <v>31</v>
      </c>
      <c r="C15" s="1" t="s">
        <v>37</v>
      </c>
      <c r="D15" s="2" t="s">
        <v>35</v>
      </c>
      <c r="E15" s="1">
        <v>3</v>
      </c>
      <c r="F15" s="1">
        <v>1</v>
      </c>
      <c r="G15" s="1" t="s">
        <v>10</v>
      </c>
      <c r="H15" s="1" t="s">
        <v>11</v>
      </c>
      <c r="I15" s="5">
        <v>320000</v>
      </c>
      <c r="J15" s="4">
        <v>4.4999999999999998E-2</v>
      </c>
      <c r="K15" s="1" t="s">
        <v>15</v>
      </c>
      <c r="L15" s="1">
        <v>30</v>
      </c>
    </row>
    <row r="16" spans="1:12" ht="13" x14ac:dyDescent="0.15">
      <c r="A16" s="6">
        <v>44647</v>
      </c>
      <c r="B16" s="1" t="s">
        <v>16</v>
      </c>
      <c r="C16" s="1" t="s">
        <v>38</v>
      </c>
      <c r="D16" s="2" t="s">
        <v>35</v>
      </c>
      <c r="E16" s="1">
        <v>4</v>
      </c>
      <c r="F16" s="1">
        <v>1</v>
      </c>
      <c r="G16" s="1" t="s">
        <v>11</v>
      </c>
      <c r="H16" s="1" t="s">
        <v>10</v>
      </c>
      <c r="I16" s="5">
        <v>390000</v>
      </c>
      <c r="J16" s="4">
        <v>3.3000000000000002E-2</v>
      </c>
      <c r="K16" s="1" t="s">
        <v>21</v>
      </c>
      <c r="L16" s="1">
        <v>30</v>
      </c>
    </row>
    <row r="17" spans="1:12" ht="13" hidden="1" x14ac:dyDescent="0.15">
      <c r="A17" s="6">
        <v>44646</v>
      </c>
      <c r="B17" s="1" t="s">
        <v>7</v>
      </c>
      <c r="C17" s="1" t="s">
        <v>19</v>
      </c>
      <c r="D17" s="1" t="s">
        <v>14</v>
      </c>
      <c r="E17" s="1">
        <v>1</v>
      </c>
      <c r="F17" s="1">
        <v>2</v>
      </c>
      <c r="G17" s="1" t="s">
        <v>10</v>
      </c>
      <c r="H17" s="1" t="s">
        <v>11</v>
      </c>
      <c r="I17" s="5">
        <v>390000</v>
      </c>
      <c r="J17" s="4">
        <v>3.9E-2</v>
      </c>
      <c r="K17" s="1" t="s">
        <v>39</v>
      </c>
      <c r="L17" s="1">
        <v>30</v>
      </c>
    </row>
    <row r="18" spans="1:12" ht="13" hidden="1" x14ac:dyDescent="0.15">
      <c r="A18" s="6">
        <v>44646</v>
      </c>
      <c r="B18" s="1" t="s">
        <v>7</v>
      </c>
      <c r="C18" s="1" t="s">
        <v>40</v>
      </c>
      <c r="D18" s="1" t="s">
        <v>14</v>
      </c>
      <c r="E18" s="1">
        <v>1</v>
      </c>
      <c r="F18" s="1">
        <v>2</v>
      </c>
      <c r="G18" s="1" t="s">
        <v>10</v>
      </c>
      <c r="H18" s="1" t="s">
        <v>11</v>
      </c>
      <c r="I18" s="5">
        <v>575000</v>
      </c>
      <c r="J18" s="4">
        <v>3.4000000000000002E-2</v>
      </c>
      <c r="K18" s="1" t="s">
        <v>24</v>
      </c>
      <c r="L18" s="1">
        <v>30</v>
      </c>
    </row>
    <row r="19" spans="1:12" ht="13" hidden="1" x14ac:dyDescent="0.15">
      <c r="A19" s="6">
        <v>44646</v>
      </c>
      <c r="B19" s="1" t="s">
        <v>7</v>
      </c>
      <c r="C19" s="1" t="s">
        <v>41</v>
      </c>
      <c r="D19" s="1" t="s">
        <v>14</v>
      </c>
      <c r="E19" s="1">
        <v>2</v>
      </c>
      <c r="F19" s="1">
        <v>1</v>
      </c>
      <c r="G19" s="1" t="s">
        <v>10</v>
      </c>
      <c r="H19" s="1" t="s">
        <v>11</v>
      </c>
      <c r="I19" s="5">
        <v>355000</v>
      </c>
      <c r="J19" s="4">
        <v>4.4999999999999998E-2</v>
      </c>
      <c r="K19" s="1" t="s">
        <v>15</v>
      </c>
      <c r="L19" s="1">
        <v>15</v>
      </c>
    </row>
    <row r="20" spans="1:12" ht="13" hidden="1" x14ac:dyDescent="0.15">
      <c r="A20" s="6">
        <v>44646</v>
      </c>
      <c r="B20" s="1" t="s">
        <v>7</v>
      </c>
      <c r="C20" s="1" t="s">
        <v>42</v>
      </c>
      <c r="D20" s="1" t="s">
        <v>14</v>
      </c>
      <c r="E20" s="1">
        <v>3</v>
      </c>
      <c r="F20" s="1">
        <v>1</v>
      </c>
      <c r="G20" s="1" t="s">
        <v>10</v>
      </c>
      <c r="H20" s="1" t="s">
        <v>11</v>
      </c>
      <c r="I20" s="5">
        <v>440000</v>
      </c>
      <c r="J20" s="4">
        <v>3.3000000000000002E-2</v>
      </c>
      <c r="K20" s="1" t="s">
        <v>28</v>
      </c>
      <c r="L20" s="1">
        <v>40</v>
      </c>
    </row>
    <row r="21" spans="1:12" ht="13" hidden="1" x14ac:dyDescent="0.15">
      <c r="A21" s="6">
        <v>44646</v>
      </c>
      <c r="B21" s="1" t="s">
        <v>29</v>
      </c>
      <c r="C21" s="1" t="s">
        <v>43</v>
      </c>
      <c r="D21" s="1" t="s">
        <v>14</v>
      </c>
      <c r="E21" s="1">
        <v>3</v>
      </c>
      <c r="F21" s="1">
        <v>2</v>
      </c>
      <c r="G21" s="1" t="s">
        <v>10</v>
      </c>
      <c r="H21" s="1" t="s">
        <v>11</v>
      </c>
      <c r="I21" s="5">
        <v>445000</v>
      </c>
      <c r="J21" s="4">
        <v>4.2999999999999997E-2</v>
      </c>
      <c r="K21" s="1" t="s">
        <v>15</v>
      </c>
      <c r="L21" s="1">
        <v>15</v>
      </c>
    </row>
    <row r="22" spans="1:12" ht="13" x14ac:dyDescent="0.15">
      <c r="A22" s="6">
        <v>44646</v>
      </c>
      <c r="B22" s="1" t="s">
        <v>16</v>
      </c>
      <c r="C22" s="1" t="s">
        <v>44</v>
      </c>
      <c r="D22" s="1" t="s">
        <v>14</v>
      </c>
      <c r="E22" s="1">
        <v>3</v>
      </c>
      <c r="F22" s="1">
        <v>2</v>
      </c>
      <c r="G22" s="1" t="s">
        <v>10</v>
      </c>
      <c r="H22" s="1" t="s">
        <v>11</v>
      </c>
      <c r="I22" s="5">
        <v>440000</v>
      </c>
      <c r="J22" s="4">
        <v>3.6999999999999998E-2</v>
      </c>
      <c r="K22" s="1" t="s">
        <v>15</v>
      </c>
      <c r="L22" s="1">
        <v>40</v>
      </c>
    </row>
    <row r="23" spans="1:12" ht="13" hidden="1" x14ac:dyDescent="0.15">
      <c r="A23" s="6">
        <v>44646</v>
      </c>
      <c r="B23" s="1" t="s">
        <v>16</v>
      </c>
      <c r="C23" s="1" t="s">
        <v>45</v>
      </c>
      <c r="D23" s="1" t="s">
        <v>14</v>
      </c>
      <c r="E23" s="1">
        <v>1</v>
      </c>
      <c r="F23" s="1">
        <v>2</v>
      </c>
      <c r="G23" s="1" t="s">
        <v>11</v>
      </c>
      <c r="H23" s="1" t="s">
        <v>10</v>
      </c>
      <c r="I23" s="5">
        <v>225000</v>
      </c>
      <c r="J23" s="4">
        <v>3.6999999999999998E-2</v>
      </c>
      <c r="K23" s="1" t="s">
        <v>21</v>
      </c>
      <c r="L23" s="1">
        <v>30</v>
      </c>
    </row>
    <row r="24" spans="1:12" ht="13" hidden="1" x14ac:dyDescent="0.15">
      <c r="A24" s="6">
        <v>44646</v>
      </c>
      <c r="B24" s="1" t="s">
        <v>7</v>
      </c>
      <c r="C24" s="1" t="s">
        <v>46</v>
      </c>
      <c r="D24" s="1" t="s">
        <v>20</v>
      </c>
      <c r="E24" s="1">
        <v>2</v>
      </c>
      <c r="F24" s="1">
        <v>2</v>
      </c>
      <c r="G24" s="1" t="s">
        <v>11</v>
      </c>
      <c r="H24" s="1" t="s">
        <v>10</v>
      </c>
      <c r="I24" s="5">
        <v>550000</v>
      </c>
      <c r="J24" s="4">
        <v>3.6999999999999998E-2</v>
      </c>
      <c r="K24" s="1" t="s">
        <v>24</v>
      </c>
      <c r="L24" s="1">
        <v>30</v>
      </c>
    </row>
    <row r="25" spans="1:12" ht="13" hidden="1" x14ac:dyDescent="0.15">
      <c r="A25" s="6">
        <v>44646</v>
      </c>
      <c r="B25" s="1" t="s">
        <v>31</v>
      </c>
      <c r="C25" s="1" t="s">
        <v>47</v>
      </c>
      <c r="D25" s="1" t="s">
        <v>20</v>
      </c>
      <c r="E25" s="1">
        <v>5</v>
      </c>
      <c r="F25" s="1">
        <v>1</v>
      </c>
      <c r="G25" s="1" t="s">
        <v>10</v>
      </c>
      <c r="H25" s="1" t="s">
        <v>11</v>
      </c>
      <c r="I25" s="5">
        <v>550000</v>
      </c>
      <c r="J25" s="4">
        <v>0.04</v>
      </c>
      <c r="K25" s="1" t="s">
        <v>24</v>
      </c>
      <c r="L25" s="1">
        <v>30</v>
      </c>
    </row>
    <row r="26" spans="1:12" ht="13" hidden="1" x14ac:dyDescent="0.15">
      <c r="A26" s="6">
        <v>44646</v>
      </c>
      <c r="B26" s="1" t="s">
        <v>16</v>
      </c>
      <c r="C26" s="1" t="s">
        <v>48</v>
      </c>
      <c r="D26" s="1" t="s">
        <v>20</v>
      </c>
      <c r="E26" s="1">
        <v>2</v>
      </c>
      <c r="F26" s="1">
        <v>2</v>
      </c>
      <c r="G26" s="1" t="s">
        <v>10</v>
      </c>
      <c r="H26" s="1" t="s">
        <v>11</v>
      </c>
      <c r="I26" s="5">
        <v>550000</v>
      </c>
      <c r="J26" s="4">
        <v>3.3000000000000002E-2</v>
      </c>
      <c r="K26" s="1" t="s">
        <v>39</v>
      </c>
      <c r="L26" s="1">
        <v>30</v>
      </c>
    </row>
    <row r="27" spans="1:12" ht="13" hidden="1" x14ac:dyDescent="0.15">
      <c r="A27" s="6">
        <v>44646</v>
      </c>
      <c r="B27" s="1" t="s">
        <v>16</v>
      </c>
      <c r="C27" s="1" t="s">
        <v>49</v>
      </c>
      <c r="D27" s="1" t="s">
        <v>20</v>
      </c>
      <c r="E27" s="1">
        <v>2</v>
      </c>
      <c r="F27" s="1">
        <v>1</v>
      </c>
      <c r="G27" s="1" t="s">
        <v>10</v>
      </c>
      <c r="H27" s="1" t="s">
        <v>11</v>
      </c>
      <c r="I27" s="5">
        <v>390000</v>
      </c>
      <c r="J27" s="4">
        <v>3.5000000000000003E-2</v>
      </c>
      <c r="K27" s="1" t="s">
        <v>39</v>
      </c>
      <c r="L27" s="1">
        <v>15</v>
      </c>
    </row>
    <row r="28" spans="1:12" ht="13" hidden="1" x14ac:dyDescent="0.15">
      <c r="A28" s="6">
        <v>44646</v>
      </c>
      <c r="B28" s="1" t="s">
        <v>12</v>
      </c>
      <c r="C28" s="1" t="s">
        <v>50</v>
      </c>
      <c r="D28" s="1" t="s">
        <v>9</v>
      </c>
      <c r="E28" s="1">
        <v>4</v>
      </c>
      <c r="F28" s="1">
        <v>1</v>
      </c>
      <c r="G28" s="1" t="s">
        <v>10</v>
      </c>
      <c r="H28" s="1" t="s">
        <v>11</v>
      </c>
      <c r="I28" s="5">
        <v>440000</v>
      </c>
      <c r="J28" s="4">
        <v>3.5999999999999997E-2</v>
      </c>
      <c r="K28" s="1" t="s">
        <v>24</v>
      </c>
      <c r="L28" s="1">
        <v>30</v>
      </c>
    </row>
    <row r="29" spans="1:12" ht="13" hidden="1" x14ac:dyDescent="0.15">
      <c r="A29" s="6">
        <v>44646</v>
      </c>
      <c r="B29" s="1" t="s">
        <v>12</v>
      </c>
      <c r="C29" s="1" t="s">
        <v>51</v>
      </c>
      <c r="D29" s="1" t="s">
        <v>9</v>
      </c>
      <c r="E29" s="1">
        <v>1</v>
      </c>
      <c r="F29" s="1">
        <v>2</v>
      </c>
      <c r="G29" s="1" t="s">
        <v>10</v>
      </c>
      <c r="H29" s="1" t="s">
        <v>11</v>
      </c>
      <c r="I29" s="5">
        <v>390000</v>
      </c>
      <c r="J29" s="4">
        <v>3.7999999999999999E-2</v>
      </c>
      <c r="K29" s="1" t="s">
        <v>28</v>
      </c>
      <c r="L29" s="1">
        <v>30</v>
      </c>
    </row>
    <row r="30" spans="1:12" ht="13" hidden="1" x14ac:dyDescent="0.15">
      <c r="A30" s="6">
        <v>44646</v>
      </c>
      <c r="B30" s="1" t="s">
        <v>12</v>
      </c>
      <c r="C30" s="1" t="s">
        <v>52</v>
      </c>
      <c r="D30" s="1" t="s">
        <v>9</v>
      </c>
      <c r="E30" s="1">
        <v>5</v>
      </c>
      <c r="F30" s="1">
        <v>1</v>
      </c>
      <c r="G30" s="1" t="s">
        <v>11</v>
      </c>
      <c r="H30" s="1" t="s">
        <v>10</v>
      </c>
      <c r="I30" s="5">
        <v>440000</v>
      </c>
      <c r="J30" s="4">
        <v>3.9E-2</v>
      </c>
      <c r="K30" s="1" t="s">
        <v>15</v>
      </c>
      <c r="L30" s="1">
        <v>40</v>
      </c>
    </row>
    <row r="31" spans="1:12" ht="13" hidden="1" x14ac:dyDescent="0.15">
      <c r="A31" s="6">
        <v>44646</v>
      </c>
      <c r="B31" s="1" t="s">
        <v>29</v>
      </c>
      <c r="C31" s="1" t="s">
        <v>53</v>
      </c>
      <c r="D31" s="1" t="s">
        <v>9</v>
      </c>
      <c r="E31" s="1">
        <v>1</v>
      </c>
      <c r="F31" s="1">
        <v>2</v>
      </c>
      <c r="G31" s="1" t="s">
        <v>11</v>
      </c>
      <c r="H31" s="1" t="s">
        <v>10</v>
      </c>
      <c r="I31" s="5">
        <v>320000</v>
      </c>
      <c r="J31" s="4">
        <v>3.5000000000000003E-2</v>
      </c>
      <c r="K31" s="1" t="s">
        <v>28</v>
      </c>
      <c r="L31" s="1">
        <v>40</v>
      </c>
    </row>
    <row r="32" spans="1:12" ht="13" hidden="1" x14ac:dyDescent="0.15">
      <c r="A32" s="6">
        <v>44646</v>
      </c>
      <c r="B32" s="1" t="s">
        <v>31</v>
      </c>
      <c r="C32" s="1" t="s">
        <v>54</v>
      </c>
      <c r="D32" s="1" t="s">
        <v>9</v>
      </c>
      <c r="E32" s="1">
        <v>2</v>
      </c>
      <c r="F32" s="1">
        <v>1</v>
      </c>
      <c r="G32" s="1" t="s">
        <v>10</v>
      </c>
      <c r="H32" s="1" t="s">
        <v>11</v>
      </c>
      <c r="I32" s="5">
        <v>425000</v>
      </c>
      <c r="J32" s="4">
        <v>3.5999999999999997E-2</v>
      </c>
      <c r="K32" s="1" t="s">
        <v>28</v>
      </c>
      <c r="L32" s="1">
        <v>15</v>
      </c>
    </row>
    <row r="33" spans="1:12" ht="13" hidden="1" x14ac:dyDescent="0.15">
      <c r="A33" s="6">
        <v>44646</v>
      </c>
      <c r="B33" s="1" t="s">
        <v>31</v>
      </c>
      <c r="C33" s="1" t="s">
        <v>55</v>
      </c>
      <c r="D33" s="1" t="s">
        <v>9</v>
      </c>
      <c r="E33" s="1">
        <v>5</v>
      </c>
      <c r="F33" s="1">
        <v>1</v>
      </c>
      <c r="G33" s="1" t="s">
        <v>10</v>
      </c>
      <c r="H33" s="1" t="s">
        <v>11</v>
      </c>
      <c r="I33" s="5">
        <v>385000</v>
      </c>
      <c r="J33" s="4">
        <v>4.1000000000000002E-2</v>
      </c>
      <c r="K33" s="1" t="s">
        <v>39</v>
      </c>
      <c r="L33" s="1">
        <v>40</v>
      </c>
    </row>
    <row r="34" spans="1:12" ht="13" hidden="1" x14ac:dyDescent="0.15">
      <c r="A34" s="6">
        <v>44646</v>
      </c>
      <c r="B34" s="1" t="s">
        <v>16</v>
      </c>
      <c r="C34" s="1" t="s">
        <v>56</v>
      </c>
      <c r="D34" s="1" t="s">
        <v>9</v>
      </c>
      <c r="E34" s="1">
        <v>1</v>
      </c>
      <c r="F34" s="1">
        <v>1</v>
      </c>
      <c r="G34" s="1" t="s">
        <v>10</v>
      </c>
      <c r="H34" s="1" t="s">
        <v>11</v>
      </c>
      <c r="I34" s="5">
        <v>385000</v>
      </c>
      <c r="J34" s="4">
        <v>3.5000000000000003E-2</v>
      </c>
      <c r="K34" s="1" t="s">
        <v>24</v>
      </c>
      <c r="L34" s="1">
        <v>15</v>
      </c>
    </row>
    <row r="35" spans="1:12" ht="13" hidden="1" x14ac:dyDescent="0.15">
      <c r="A35" s="6">
        <v>44646</v>
      </c>
      <c r="B35" s="1" t="s">
        <v>7</v>
      </c>
      <c r="C35" s="1" t="s">
        <v>57</v>
      </c>
      <c r="D35" s="2" t="s">
        <v>35</v>
      </c>
      <c r="E35" s="1">
        <v>3</v>
      </c>
      <c r="F35" s="1">
        <v>1</v>
      </c>
      <c r="G35" s="1" t="s">
        <v>11</v>
      </c>
      <c r="H35" s="1" t="s">
        <v>10</v>
      </c>
      <c r="I35" s="5">
        <v>440000</v>
      </c>
      <c r="J35" s="4">
        <v>4.2000000000000003E-2</v>
      </c>
      <c r="K35" s="1" t="s">
        <v>24</v>
      </c>
      <c r="L35" s="1">
        <v>30</v>
      </c>
    </row>
    <row r="36" spans="1:12" ht="13" hidden="1" x14ac:dyDescent="0.15">
      <c r="A36" s="6">
        <v>44646</v>
      </c>
      <c r="B36" s="1" t="s">
        <v>7</v>
      </c>
      <c r="C36" s="1" t="s">
        <v>58</v>
      </c>
      <c r="D36" s="2" t="s">
        <v>35</v>
      </c>
      <c r="E36" s="1">
        <v>4</v>
      </c>
      <c r="F36" s="1">
        <v>1</v>
      </c>
      <c r="G36" s="1" t="s">
        <v>10</v>
      </c>
      <c r="H36" s="1" t="s">
        <v>11</v>
      </c>
      <c r="I36" s="5">
        <v>575000</v>
      </c>
      <c r="J36" s="4">
        <v>4.4999999999999998E-2</v>
      </c>
      <c r="K36" s="1" t="s">
        <v>15</v>
      </c>
      <c r="L36" s="1">
        <v>30</v>
      </c>
    </row>
    <row r="37" spans="1:12" ht="13" hidden="1" x14ac:dyDescent="0.15">
      <c r="A37" s="6">
        <v>44646</v>
      </c>
      <c r="B37" s="1" t="s">
        <v>7</v>
      </c>
      <c r="C37" s="1" t="s">
        <v>59</v>
      </c>
      <c r="D37" s="2" t="s">
        <v>35</v>
      </c>
      <c r="E37" s="1">
        <v>4</v>
      </c>
      <c r="F37" s="1">
        <v>1</v>
      </c>
      <c r="G37" s="1" t="s">
        <v>10</v>
      </c>
      <c r="H37" s="1" t="s">
        <v>11</v>
      </c>
      <c r="I37" s="5">
        <v>225000</v>
      </c>
      <c r="J37" s="4">
        <v>3.5000000000000003E-2</v>
      </c>
      <c r="K37" s="1" t="s">
        <v>28</v>
      </c>
      <c r="L37" s="1">
        <v>30</v>
      </c>
    </row>
    <row r="38" spans="1:12" ht="13" hidden="1" x14ac:dyDescent="0.15">
      <c r="A38" s="6">
        <v>44646</v>
      </c>
      <c r="B38" s="1" t="s">
        <v>7</v>
      </c>
      <c r="C38" s="1" t="s">
        <v>60</v>
      </c>
      <c r="D38" s="2" t="s">
        <v>35</v>
      </c>
      <c r="E38" s="1">
        <v>2</v>
      </c>
      <c r="F38" s="1">
        <v>2</v>
      </c>
      <c r="G38" s="1" t="s">
        <v>10</v>
      </c>
      <c r="H38" s="1" t="s">
        <v>11</v>
      </c>
      <c r="I38" s="5">
        <v>385000</v>
      </c>
      <c r="J38" s="4">
        <v>4.3999999999999997E-2</v>
      </c>
      <c r="K38" s="1" t="s">
        <v>39</v>
      </c>
      <c r="L38" s="1">
        <v>30</v>
      </c>
    </row>
    <row r="39" spans="1:12" ht="13" hidden="1" x14ac:dyDescent="0.15">
      <c r="A39" s="6">
        <v>44646</v>
      </c>
      <c r="B39" s="1" t="s">
        <v>31</v>
      </c>
      <c r="C39" s="1" t="s">
        <v>61</v>
      </c>
      <c r="D39" s="2" t="s">
        <v>35</v>
      </c>
      <c r="E39" s="1">
        <v>2</v>
      </c>
      <c r="F39" s="1">
        <v>1</v>
      </c>
      <c r="G39" s="1" t="s">
        <v>11</v>
      </c>
      <c r="H39" s="1" t="s">
        <v>10</v>
      </c>
      <c r="I39" s="5">
        <v>390000</v>
      </c>
      <c r="J39" s="4">
        <v>4.2000000000000003E-2</v>
      </c>
      <c r="K39" s="1" t="s">
        <v>15</v>
      </c>
      <c r="L39" s="1">
        <v>30</v>
      </c>
    </row>
    <row r="40" spans="1:12" ht="13" hidden="1" x14ac:dyDescent="0.15">
      <c r="A40" s="6">
        <v>44646</v>
      </c>
      <c r="B40" s="1" t="s">
        <v>31</v>
      </c>
      <c r="C40" s="1" t="s">
        <v>8</v>
      </c>
      <c r="D40" s="2" t="s">
        <v>35</v>
      </c>
      <c r="E40" s="1">
        <v>2</v>
      </c>
      <c r="F40" s="1">
        <v>1</v>
      </c>
      <c r="G40" s="1" t="s">
        <v>11</v>
      </c>
      <c r="H40" s="1" t="s">
        <v>10</v>
      </c>
      <c r="I40" s="5">
        <v>355000</v>
      </c>
      <c r="J40" s="4">
        <v>3.9E-2</v>
      </c>
      <c r="K40" s="1" t="s">
        <v>39</v>
      </c>
      <c r="L40" s="1">
        <v>30</v>
      </c>
    </row>
    <row r="41" spans="1:12" ht="13" x14ac:dyDescent="0.15">
      <c r="A41" s="6">
        <v>44623</v>
      </c>
      <c r="B41" s="1" t="s">
        <v>16</v>
      </c>
      <c r="C41" s="1" t="s">
        <v>49</v>
      </c>
      <c r="D41" s="1" t="s">
        <v>14</v>
      </c>
      <c r="E41" s="1">
        <v>4</v>
      </c>
      <c r="F41" s="1">
        <v>1</v>
      </c>
      <c r="G41" s="1" t="s">
        <v>10</v>
      </c>
      <c r="H41" s="1" t="s">
        <v>11</v>
      </c>
      <c r="I41" s="5">
        <v>245000</v>
      </c>
      <c r="J41" s="4">
        <v>3.4000000000000002E-2</v>
      </c>
      <c r="K41" s="1" t="s">
        <v>21</v>
      </c>
      <c r="L41" s="1">
        <v>15</v>
      </c>
    </row>
    <row r="42" spans="1:12" ht="13" hidden="1" x14ac:dyDescent="0.15">
      <c r="A42" s="6">
        <v>44623</v>
      </c>
      <c r="B42" s="1" t="s">
        <v>12</v>
      </c>
      <c r="C42" s="1" t="s">
        <v>38</v>
      </c>
      <c r="D42" s="1" t="s">
        <v>20</v>
      </c>
      <c r="E42" s="1">
        <v>5</v>
      </c>
      <c r="F42" s="1">
        <v>1</v>
      </c>
      <c r="G42" s="1" t="s">
        <v>10</v>
      </c>
      <c r="H42" s="1" t="s">
        <v>11</v>
      </c>
      <c r="I42" s="5">
        <v>385000</v>
      </c>
      <c r="J42" s="4">
        <v>3.5000000000000003E-2</v>
      </c>
      <c r="K42" s="1" t="s">
        <v>15</v>
      </c>
      <c r="L42" s="1">
        <v>30</v>
      </c>
    </row>
    <row r="43" spans="1:12" ht="13" hidden="1" x14ac:dyDescent="0.15">
      <c r="A43" s="6">
        <v>44623</v>
      </c>
      <c r="B43" s="1" t="s">
        <v>31</v>
      </c>
      <c r="C43" s="1" t="s">
        <v>62</v>
      </c>
      <c r="D43" s="1" t="s">
        <v>20</v>
      </c>
      <c r="E43" s="1">
        <v>1</v>
      </c>
      <c r="F43" s="1">
        <v>2</v>
      </c>
      <c r="G43" s="1" t="s">
        <v>10</v>
      </c>
      <c r="H43" s="1" t="s">
        <v>11</v>
      </c>
      <c r="I43" s="5">
        <v>355000</v>
      </c>
      <c r="J43" s="4">
        <v>4.1000000000000002E-2</v>
      </c>
      <c r="K43" s="1" t="s">
        <v>21</v>
      </c>
      <c r="L43" s="1">
        <v>30</v>
      </c>
    </row>
    <row r="44" spans="1:12" ht="13" hidden="1" x14ac:dyDescent="0.15">
      <c r="A44" s="6">
        <v>44623</v>
      </c>
      <c r="B44" s="1" t="s">
        <v>16</v>
      </c>
      <c r="C44" s="1" t="s">
        <v>44</v>
      </c>
      <c r="D44" s="1" t="s">
        <v>20</v>
      </c>
      <c r="E44" s="1">
        <v>1</v>
      </c>
      <c r="F44" s="1">
        <v>2</v>
      </c>
      <c r="G44" s="1" t="s">
        <v>10</v>
      </c>
      <c r="H44" s="1" t="s">
        <v>11</v>
      </c>
      <c r="I44" s="5">
        <v>425000</v>
      </c>
      <c r="J44" s="4">
        <v>3.6999999999999998E-2</v>
      </c>
      <c r="K44" s="1" t="s">
        <v>39</v>
      </c>
      <c r="L44" s="1">
        <v>15</v>
      </c>
    </row>
    <row r="45" spans="1:12" ht="13" hidden="1" x14ac:dyDescent="0.15">
      <c r="A45" s="6">
        <v>44623</v>
      </c>
      <c r="B45" s="1" t="s">
        <v>12</v>
      </c>
      <c r="C45" s="1" t="s">
        <v>50</v>
      </c>
      <c r="D45" s="1" t="s">
        <v>9</v>
      </c>
      <c r="E45" s="1">
        <v>1</v>
      </c>
      <c r="F45" s="1">
        <v>1</v>
      </c>
      <c r="G45" s="1" t="s">
        <v>11</v>
      </c>
      <c r="H45" s="1" t="s">
        <v>10</v>
      </c>
      <c r="I45" s="5">
        <v>550000</v>
      </c>
      <c r="J45" s="4">
        <v>3.5999999999999997E-2</v>
      </c>
      <c r="K45" s="1" t="s">
        <v>15</v>
      </c>
      <c r="L45" s="1">
        <v>30</v>
      </c>
    </row>
    <row r="46" spans="1:12" ht="13" hidden="1" x14ac:dyDescent="0.15">
      <c r="A46" s="6">
        <v>44623</v>
      </c>
      <c r="B46" s="1" t="s">
        <v>12</v>
      </c>
      <c r="C46" s="1" t="s">
        <v>58</v>
      </c>
      <c r="D46" s="1" t="s">
        <v>9</v>
      </c>
      <c r="E46" s="1">
        <v>1</v>
      </c>
      <c r="F46" s="1">
        <v>2</v>
      </c>
      <c r="G46" s="1" t="s">
        <v>10</v>
      </c>
      <c r="H46" s="1" t="s">
        <v>11</v>
      </c>
      <c r="I46" s="5">
        <v>385000</v>
      </c>
      <c r="J46" s="4">
        <v>3.2000000000000001E-2</v>
      </c>
      <c r="K46" s="1" t="s">
        <v>15</v>
      </c>
      <c r="L46" s="1">
        <v>30</v>
      </c>
    </row>
    <row r="47" spans="1:12" ht="13" hidden="1" x14ac:dyDescent="0.15">
      <c r="A47" s="6">
        <v>44623</v>
      </c>
      <c r="B47" s="1" t="s">
        <v>12</v>
      </c>
      <c r="C47" s="1" t="s">
        <v>63</v>
      </c>
      <c r="D47" s="1" t="s">
        <v>9</v>
      </c>
      <c r="E47" s="1">
        <v>4</v>
      </c>
      <c r="F47" s="1">
        <v>1</v>
      </c>
      <c r="G47" s="1" t="s">
        <v>10</v>
      </c>
      <c r="H47" s="1" t="s">
        <v>11</v>
      </c>
      <c r="I47" s="5">
        <v>550000</v>
      </c>
      <c r="J47" s="4">
        <v>3.5000000000000003E-2</v>
      </c>
      <c r="K47" s="1" t="s">
        <v>28</v>
      </c>
      <c r="L47" s="1">
        <v>30</v>
      </c>
    </row>
    <row r="48" spans="1:12" ht="13" hidden="1" x14ac:dyDescent="0.15">
      <c r="A48" s="6">
        <v>44623</v>
      </c>
      <c r="B48" s="1" t="s">
        <v>7</v>
      </c>
      <c r="C48" s="1" t="s">
        <v>64</v>
      </c>
      <c r="D48" s="1" t="s">
        <v>9</v>
      </c>
      <c r="E48" s="1">
        <v>4</v>
      </c>
      <c r="F48" s="1">
        <v>1</v>
      </c>
      <c r="G48" s="1" t="s">
        <v>10</v>
      </c>
      <c r="H48" s="1" t="s">
        <v>11</v>
      </c>
      <c r="I48" s="5">
        <v>425000</v>
      </c>
      <c r="J48" s="4">
        <v>3.3000000000000002E-2</v>
      </c>
      <c r="K48" s="1" t="s">
        <v>15</v>
      </c>
      <c r="L48" s="1">
        <v>30</v>
      </c>
    </row>
    <row r="49" spans="1:12" ht="13" hidden="1" x14ac:dyDescent="0.15">
      <c r="A49" s="6">
        <v>44623</v>
      </c>
      <c r="B49" s="1" t="s">
        <v>29</v>
      </c>
      <c r="C49" s="1" t="s">
        <v>65</v>
      </c>
      <c r="D49" s="1" t="s">
        <v>9</v>
      </c>
      <c r="E49" s="1">
        <v>1</v>
      </c>
      <c r="F49" s="1">
        <v>1</v>
      </c>
      <c r="G49" s="1" t="s">
        <v>10</v>
      </c>
      <c r="H49" s="1" t="s">
        <v>11</v>
      </c>
      <c r="I49" s="5">
        <v>385000</v>
      </c>
      <c r="J49" s="4">
        <v>3.5999999999999997E-2</v>
      </c>
      <c r="K49" s="1" t="s">
        <v>28</v>
      </c>
      <c r="L49" s="1">
        <v>30</v>
      </c>
    </row>
    <row r="50" spans="1:12" ht="13" hidden="1" x14ac:dyDescent="0.15">
      <c r="A50" s="6">
        <v>44623</v>
      </c>
      <c r="B50" s="1" t="s">
        <v>29</v>
      </c>
      <c r="C50" s="1" t="s">
        <v>66</v>
      </c>
      <c r="D50" s="1" t="s">
        <v>9</v>
      </c>
      <c r="E50" s="1">
        <v>3</v>
      </c>
      <c r="F50" s="1">
        <v>2</v>
      </c>
      <c r="G50" s="1" t="s">
        <v>10</v>
      </c>
      <c r="H50" s="1" t="s">
        <v>11</v>
      </c>
      <c r="I50" s="5">
        <v>385000</v>
      </c>
      <c r="J50" s="4">
        <v>3.9E-2</v>
      </c>
      <c r="K50" s="1" t="s">
        <v>21</v>
      </c>
      <c r="L50" s="1">
        <v>15</v>
      </c>
    </row>
    <row r="51" spans="1:12" ht="13" hidden="1" x14ac:dyDescent="0.15">
      <c r="A51" s="6">
        <v>44623</v>
      </c>
      <c r="B51" s="1" t="s">
        <v>31</v>
      </c>
      <c r="C51" s="1" t="s">
        <v>60</v>
      </c>
      <c r="D51" s="1" t="s">
        <v>9</v>
      </c>
      <c r="E51" s="1">
        <v>2</v>
      </c>
      <c r="F51" s="1">
        <v>2</v>
      </c>
      <c r="G51" s="1" t="s">
        <v>10</v>
      </c>
      <c r="H51" s="1" t="s">
        <v>11</v>
      </c>
      <c r="I51" s="5">
        <v>445000</v>
      </c>
      <c r="J51" s="4">
        <v>3.9E-2</v>
      </c>
      <c r="K51" s="1" t="s">
        <v>21</v>
      </c>
      <c r="L51" s="1">
        <v>30</v>
      </c>
    </row>
    <row r="52" spans="1:12" ht="13" hidden="1" x14ac:dyDescent="0.15">
      <c r="A52" s="6">
        <v>44623</v>
      </c>
      <c r="B52" s="1" t="s">
        <v>31</v>
      </c>
      <c r="C52" s="1" t="s">
        <v>67</v>
      </c>
      <c r="D52" s="1" t="s">
        <v>9</v>
      </c>
      <c r="E52" s="1">
        <v>2</v>
      </c>
      <c r="F52" s="1">
        <v>1</v>
      </c>
      <c r="G52" s="1" t="s">
        <v>11</v>
      </c>
      <c r="H52" s="1" t="s">
        <v>10</v>
      </c>
      <c r="I52" s="5">
        <v>390000</v>
      </c>
      <c r="J52" s="4">
        <v>3.4000000000000002E-2</v>
      </c>
      <c r="K52" s="1" t="s">
        <v>18</v>
      </c>
      <c r="L52" s="1">
        <v>15</v>
      </c>
    </row>
    <row r="53" spans="1:12" ht="13" hidden="1" x14ac:dyDescent="0.15">
      <c r="A53" s="6">
        <v>44623</v>
      </c>
      <c r="B53" s="1" t="s">
        <v>7</v>
      </c>
      <c r="C53" s="1" t="s">
        <v>68</v>
      </c>
      <c r="D53" s="2" t="s">
        <v>35</v>
      </c>
      <c r="E53" s="1">
        <v>1</v>
      </c>
      <c r="F53" s="1">
        <v>2</v>
      </c>
      <c r="G53" s="1" t="s">
        <v>10</v>
      </c>
      <c r="H53" s="1" t="s">
        <v>11</v>
      </c>
      <c r="I53" s="5">
        <v>575000</v>
      </c>
      <c r="J53" s="4">
        <v>3.2000000000000001E-2</v>
      </c>
      <c r="K53" s="1" t="s">
        <v>39</v>
      </c>
      <c r="L53" s="1">
        <v>15</v>
      </c>
    </row>
    <row r="54" spans="1:12" ht="13" hidden="1" x14ac:dyDescent="0.15">
      <c r="A54" s="6">
        <v>44623</v>
      </c>
      <c r="B54" s="1" t="s">
        <v>7</v>
      </c>
      <c r="C54" s="1" t="s">
        <v>69</v>
      </c>
      <c r="D54" s="2" t="s">
        <v>35</v>
      </c>
      <c r="E54" s="1">
        <v>4</v>
      </c>
      <c r="F54" s="1">
        <v>1</v>
      </c>
      <c r="G54" s="1" t="s">
        <v>11</v>
      </c>
      <c r="H54" s="1" t="s">
        <v>10</v>
      </c>
      <c r="I54" s="5">
        <v>550000</v>
      </c>
      <c r="J54" s="4">
        <v>4.2000000000000003E-2</v>
      </c>
      <c r="K54" s="1" t="s">
        <v>15</v>
      </c>
      <c r="L54" s="1">
        <v>30</v>
      </c>
    </row>
    <row r="55" spans="1:12" ht="13" hidden="1" x14ac:dyDescent="0.15">
      <c r="A55" s="6">
        <v>44623</v>
      </c>
      <c r="B55" s="1" t="s">
        <v>29</v>
      </c>
      <c r="C55" s="1" t="s">
        <v>70</v>
      </c>
      <c r="D55" s="2" t="s">
        <v>35</v>
      </c>
      <c r="E55" s="1">
        <v>4</v>
      </c>
      <c r="F55" s="1">
        <v>1</v>
      </c>
      <c r="G55" s="1" t="s">
        <v>10</v>
      </c>
      <c r="H55" s="1" t="s">
        <v>11</v>
      </c>
      <c r="I55" s="5">
        <v>445000</v>
      </c>
      <c r="J55" s="4">
        <v>3.7999999999999999E-2</v>
      </c>
      <c r="K55" s="1" t="s">
        <v>18</v>
      </c>
      <c r="L55" s="1">
        <v>40</v>
      </c>
    </row>
    <row r="56" spans="1:12" ht="13" hidden="1" x14ac:dyDescent="0.15">
      <c r="A56" s="6">
        <v>44623</v>
      </c>
      <c r="B56" s="1" t="s">
        <v>29</v>
      </c>
      <c r="C56" s="1" t="s">
        <v>8</v>
      </c>
      <c r="D56" s="2" t="s">
        <v>35</v>
      </c>
      <c r="E56" s="1">
        <v>2</v>
      </c>
      <c r="F56" s="1">
        <v>2</v>
      </c>
      <c r="G56" s="1" t="s">
        <v>11</v>
      </c>
      <c r="H56" s="1" t="s">
        <v>10</v>
      </c>
      <c r="I56" s="5">
        <v>395000</v>
      </c>
      <c r="J56" s="4">
        <v>3.4000000000000002E-2</v>
      </c>
      <c r="K56" s="1" t="s">
        <v>39</v>
      </c>
      <c r="L56" s="1">
        <v>15</v>
      </c>
    </row>
    <row r="57" spans="1:12" ht="13" hidden="1" x14ac:dyDescent="0.15">
      <c r="A57" s="6">
        <v>44623</v>
      </c>
      <c r="B57" s="1" t="s">
        <v>31</v>
      </c>
      <c r="C57" s="1" t="s">
        <v>71</v>
      </c>
      <c r="D57" s="2" t="s">
        <v>35</v>
      </c>
      <c r="E57" s="1">
        <v>2</v>
      </c>
      <c r="F57" s="1">
        <v>1</v>
      </c>
      <c r="G57" s="1" t="s">
        <v>10</v>
      </c>
      <c r="H57" s="1" t="s">
        <v>11</v>
      </c>
      <c r="I57" s="5">
        <v>395000</v>
      </c>
      <c r="J57" s="4">
        <v>4.4999999999999998E-2</v>
      </c>
      <c r="K57" s="1" t="s">
        <v>24</v>
      </c>
      <c r="L57" s="1">
        <v>30</v>
      </c>
    </row>
    <row r="58" spans="1:12" ht="13" x14ac:dyDescent="0.15">
      <c r="A58" s="6">
        <v>44623</v>
      </c>
      <c r="B58" s="1" t="s">
        <v>16</v>
      </c>
      <c r="C58" s="1" t="s">
        <v>72</v>
      </c>
      <c r="D58" s="2" t="s">
        <v>35</v>
      </c>
      <c r="E58" s="1">
        <v>3</v>
      </c>
      <c r="F58" s="1">
        <v>1</v>
      </c>
      <c r="G58" s="1" t="s">
        <v>11</v>
      </c>
      <c r="H58" s="1" t="s">
        <v>10</v>
      </c>
      <c r="I58" s="5">
        <v>445000</v>
      </c>
      <c r="J58" s="4">
        <v>4.4999999999999998E-2</v>
      </c>
      <c r="K58" s="1" t="s">
        <v>28</v>
      </c>
      <c r="L58" s="1">
        <v>30</v>
      </c>
    </row>
    <row r="59" spans="1:12" ht="13" hidden="1" x14ac:dyDescent="0.15">
      <c r="A59" s="6">
        <v>44623</v>
      </c>
      <c r="B59" s="1" t="s">
        <v>16</v>
      </c>
      <c r="C59" s="1" t="s">
        <v>73</v>
      </c>
      <c r="D59" s="2" t="s">
        <v>35</v>
      </c>
      <c r="E59" s="1">
        <v>2</v>
      </c>
      <c r="F59" s="1">
        <v>2</v>
      </c>
      <c r="G59" s="1" t="s">
        <v>10</v>
      </c>
      <c r="H59" s="1" t="s">
        <v>11</v>
      </c>
      <c r="I59" s="5">
        <v>575000</v>
      </c>
      <c r="J59" s="4">
        <v>3.4000000000000002E-2</v>
      </c>
      <c r="K59" s="1" t="s">
        <v>21</v>
      </c>
      <c r="L59" s="1">
        <v>15</v>
      </c>
    </row>
    <row r="60" spans="1:12" ht="13" hidden="1" x14ac:dyDescent="0.15">
      <c r="A60" s="6">
        <v>44574</v>
      </c>
      <c r="B60" s="1" t="s">
        <v>12</v>
      </c>
      <c r="C60" s="1" t="s">
        <v>74</v>
      </c>
      <c r="D60" s="1" t="s">
        <v>14</v>
      </c>
      <c r="E60" s="1">
        <v>3</v>
      </c>
      <c r="F60" s="1">
        <v>1</v>
      </c>
      <c r="G60" s="1" t="s">
        <v>11</v>
      </c>
      <c r="H60" s="1" t="s">
        <v>10</v>
      </c>
      <c r="I60" s="5">
        <v>225000</v>
      </c>
      <c r="J60" s="4">
        <v>3.6999999999999998E-2</v>
      </c>
      <c r="K60" s="1" t="s">
        <v>39</v>
      </c>
      <c r="L60" s="1">
        <v>30</v>
      </c>
    </row>
    <row r="61" spans="1:12" ht="13" hidden="1" x14ac:dyDescent="0.15">
      <c r="A61" s="6">
        <v>44574</v>
      </c>
      <c r="B61" s="1" t="s">
        <v>29</v>
      </c>
      <c r="C61" s="1" t="s">
        <v>41</v>
      </c>
      <c r="D61" s="1" t="s">
        <v>20</v>
      </c>
      <c r="E61" s="1">
        <v>2</v>
      </c>
      <c r="F61" s="1">
        <v>1</v>
      </c>
      <c r="G61" s="1" t="s">
        <v>10</v>
      </c>
      <c r="H61" s="1" t="s">
        <v>11</v>
      </c>
      <c r="I61" s="5">
        <v>390000</v>
      </c>
      <c r="J61" s="4">
        <v>3.2000000000000001E-2</v>
      </c>
      <c r="K61" s="1" t="s">
        <v>24</v>
      </c>
      <c r="L61" s="1">
        <v>30</v>
      </c>
    </row>
    <row r="62" spans="1:12" ht="13" hidden="1" x14ac:dyDescent="0.15">
      <c r="A62" s="6">
        <v>44574</v>
      </c>
      <c r="B62" s="1" t="s">
        <v>29</v>
      </c>
      <c r="C62" s="1" t="s">
        <v>42</v>
      </c>
      <c r="D62" s="1" t="s">
        <v>20</v>
      </c>
      <c r="E62" s="1">
        <v>5</v>
      </c>
      <c r="F62" s="1">
        <v>1</v>
      </c>
      <c r="G62" s="1" t="s">
        <v>10</v>
      </c>
      <c r="H62" s="1" t="s">
        <v>11</v>
      </c>
      <c r="I62" s="5">
        <v>550000</v>
      </c>
      <c r="J62" s="4">
        <v>3.4000000000000002E-2</v>
      </c>
      <c r="K62" s="1" t="s">
        <v>15</v>
      </c>
      <c r="L62" s="1">
        <v>30</v>
      </c>
    </row>
    <row r="63" spans="1:12" ht="13" hidden="1" x14ac:dyDescent="0.15">
      <c r="A63" s="6">
        <v>44574</v>
      </c>
      <c r="B63" s="1" t="s">
        <v>31</v>
      </c>
      <c r="C63" s="1" t="s">
        <v>75</v>
      </c>
      <c r="D63" s="1" t="s">
        <v>20</v>
      </c>
      <c r="E63" s="1">
        <v>2</v>
      </c>
      <c r="F63" s="1">
        <v>1</v>
      </c>
      <c r="G63" s="1" t="s">
        <v>10</v>
      </c>
      <c r="H63" s="1" t="s">
        <v>11</v>
      </c>
      <c r="I63" s="5">
        <v>425000</v>
      </c>
      <c r="J63" s="4">
        <v>4.3999999999999997E-2</v>
      </c>
      <c r="K63" s="1" t="s">
        <v>15</v>
      </c>
      <c r="L63" s="1">
        <v>30</v>
      </c>
    </row>
    <row r="64" spans="1:12" ht="13" hidden="1" x14ac:dyDescent="0.15">
      <c r="A64" s="6">
        <v>44574</v>
      </c>
      <c r="B64" s="1" t="s">
        <v>31</v>
      </c>
      <c r="C64" s="1" t="s">
        <v>58</v>
      </c>
      <c r="D64" s="1" t="s">
        <v>20</v>
      </c>
      <c r="E64" s="1">
        <v>1</v>
      </c>
      <c r="F64" s="1">
        <v>2</v>
      </c>
      <c r="G64" s="1" t="s">
        <v>11</v>
      </c>
      <c r="H64" s="1" t="s">
        <v>10</v>
      </c>
      <c r="I64" s="5">
        <v>445000</v>
      </c>
      <c r="J64" s="4">
        <v>0.04</v>
      </c>
      <c r="K64" s="1" t="s">
        <v>15</v>
      </c>
      <c r="L64" s="1">
        <v>30</v>
      </c>
    </row>
    <row r="65" spans="1:12" ht="13" hidden="1" x14ac:dyDescent="0.15">
      <c r="A65" s="6">
        <v>44574</v>
      </c>
      <c r="B65" s="1" t="s">
        <v>12</v>
      </c>
      <c r="C65" s="1" t="s">
        <v>13</v>
      </c>
      <c r="D65" s="1" t="s">
        <v>9</v>
      </c>
      <c r="E65" s="1">
        <v>2</v>
      </c>
      <c r="F65" s="1">
        <v>2</v>
      </c>
      <c r="G65" s="1" t="s">
        <v>11</v>
      </c>
      <c r="H65" s="1" t="s">
        <v>10</v>
      </c>
      <c r="I65" s="5">
        <v>385000</v>
      </c>
      <c r="J65" s="4">
        <v>3.9E-2</v>
      </c>
      <c r="K65" s="1" t="s">
        <v>39</v>
      </c>
      <c r="L65" s="1">
        <v>40</v>
      </c>
    </row>
    <row r="66" spans="1:12" ht="13" hidden="1" x14ac:dyDescent="0.15">
      <c r="A66" s="6">
        <v>44574</v>
      </c>
      <c r="B66" s="1" t="s">
        <v>29</v>
      </c>
      <c r="C66" s="1" t="s">
        <v>76</v>
      </c>
      <c r="D66" s="1" t="s">
        <v>9</v>
      </c>
      <c r="E66" s="1">
        <v>2</v>
      </c>
      <c r="F66" s="1">
        <v>2</v>
      </c>
      <c r="G66" s="1" t="s">
        <v>11</v>
      </c>
      <c r="H66" s="1" t="s">
        <v>10</v>
      </c>
      <c r="I66" s="5">
        <v>390000</v>
      </c>
      <c r="J66" s="4">
        <v>3.5000000000000003E-2</v>
      </c>
      <c r="K66" s="1" t="s">
        <v>15</v>
      </c>
      <c r="L66" s="1">
        <v>15</v>
      </c>
    </row>
    <row r="67" spans="1:12" ht="13" hidden="1" x14ac:dyDescent="0.15">
      <c r="A67" s="6">
        <v>44574</v>
      </c>
      <c r="B67" s="1" t="s">
        <v>29</v>
      </c>
      <c r="C67" s="1" t="s">
        <v>77</v>
      </c>
      <c r="D67" s="1" t="s">
        <v>9</v>
      </c>
      <c r="E67" s="1">
        <v>3</v>
      </c>
      <c r="F67" s="1">
        <v>1</v>
      </c>
      <c r="G67" s="1" t="s">
        <v>10</v>
      </c>
      <c r="H67" s="1" t="s">
        <v>11</v>
      </c>
      <c r="I67" s="5">
        <v>550000</v>
      </c>
      <c r="J67" s="4">
        <v>4.1000000000000002E-2</v>
      </c>
      <c r="K67" s="1" t="s">
        <v>28</v>
      </c>
      <c r="L67" s="1">
        <v>30</v>
      </c>
    </row>
    <row r="68" spans="1:12" ht="13" hidden="1" x14ac:dyDescent="0.15">
      <c r="A68" s="6">
        <v>44574</v>
      </c>
      <c r="B68" s="1" t="s">
        <v>29</v>
      </c>
      <c r="C68" s="1" t="s">
        <v>78</v>
      </c>
      <c r="D68" s="1" t="s">
        <v>9</v>
      </c>
      <c r="E68" s="1">
        <v>5</v>
      </c>
      <c r="F68" s="1">
        <v>2</v>
      </c>
      <c r="G68" s="1" t="s">
        <v>11</v>
      </c>
      <c r="H68" s="1" t="s">
        <v>10</v>
      </c>
      <c r="I68" s="5">
        <v>440000</v>
      </c>
      <c r="J68" s="4">
        <v>4.2000000000000003E-2</v>
      </c>
      <c r="K68" s="1" t="s">
        <v>24</v>
      </c>
      <c r="L68" s="1">
        <v>30</v>
      </c>
    </row>
    <row r="69" spans="1:12" ht="13" hidden="1" x14ac:dyDescent="0.15">
      <c r="A69" s="6">
        <v>44574</v>
      </c>
      <c r="B69" s="1" t="s">
        <v>16</v>
      </c>
      <c r="C69" s="1" t="s">
        <v>79</v>
      </c>
      <c r="D69" s="1" t="s">
        <v>9</v>
      </c>
      <c r="E69" s="1">
        <v>2</v>
      </c>
      <c r="F69" s="1">
        <v>1</v>
      </c>
      <c r="G69" s="1" t="s">
        <v>11</v>
      </c>
      <c r="H69" s="1" t="s">
        <v>10</v>
      </c>
      <c r="I69" s="5">
        <v>225000</v>
      </c>
      <c r="J69" s="4">
        <v>4.4999999999999998E-2</v>
      </c>
      <c r="K69" s="1" t="s">
        <v>21</v>
      </c>
      <c r="L69" s="1">
        <v>30</v>
      </c>
    </row>
    <row r="70" spans="1:12" ht="13" hidden="1" x14ac:dyDescent="0.15">
      <c r="A70" s="6">
        <v>44454</v>
      </c>
      <c r="B70" s="1" t="s">
        <v>12</v>
      </c>
      <c r="C70" s="1" t="s">
        <v>80</v>
      </c>
      <c r="D70" s="1" t="s">
        <v>14</v>
      </c>
      <c r="E70" s="1">
        <v>2</v>
      </c>
      <c r="F70" s="1">
        <v>2</v>
      </c>
      <c r="G70" s="1" t="s">
        <v>10</v>
      </c>
      <c r="H70" s="1" t="s">
        <v>11</v>
      </c>
      <c r="I70" s="5">
        <v>320000</v>
      </c>
      <c r="J70" s="4">
        <v>3.5000000000000003E-2</v>
      </c>
      <c r="K70" s="1" t="s">
        <v>28</v>
      </c>
      <c r="L70" s="1">
        <v>30</v>
      </c>
    </row>
    <row r="71" spans="1:12" ht="13" hidden="1" x14ac:dyDescent="0.15">
      <c r="A71" s="6">
        <v>44454</v>
      </c>
      <c r="B71" s="1" t="s">
        <v>7</v>
      </c>
      <c r="C71" s="1" t="s">
        <v>46</v>
      </c>
      <c r="D71" s="1" t="s">
        <v>14</v>
      </c>
      <c r="E71" s="1">
        <v>5</v>
      </c>
      <c r="F71" s="1">
        <v>2</v>
      </c>
      <c r="G71" s="1" t="s">
        <v>10</v>
      </c>
      <c r="H71" s="1" t="s">
        <v>11</v>
      </c>
      <c r="I71" s="5">
        <v>225000</v>
      </c>
      <c r="J71" s="4">
        <v>3.4000000000000002E-2</v>
      </c>
      <c r="K71" s="1" t="s">
        <v>28</v>
      </c>
      <c r="L71" s="1">
        <v>15</v>
      </c>
    </row>
    <row r="72" spans="1:12" ht="13" hidden="1" x14ac:dyDescent="0.15">
      <c r="A72" s="6">
        <v>44454</v>
      </c>
      <c r="B72" s="1" t="s">
        <v>29</v>
      </c>
      <c r="C72" s="1" t="s">
        <v>81</v>
      </c>
      <c r="D72" s="1" t="s">
        <v>14</v>
      </c>
      <c r="E72" s="1">
        <v>3</v>
      </c>
      <c r="F72" s="1">
        <v>2</v>
      </c>
      <c r="G72" s="1" t="s">
        <v>11</v>
      </c>
      <c r="H72" s="1" t="s">
        <v>10</v>
      </c>
      <c r="I72" s="5">
        <v>425000</v>
      </c>
      <c r="J72" s="4">
        <v>3.9E-2</v>
      </c>
      <c r="K72" s="1" t="s">
        <v>28</v>
      </c>
      <c r="L72" s="1">
        <v>15</v>
      </c>
    </row>
    <row r="73" spans="1:12" ht="13" hidden="1" x14ac:dyDescent="0.15">
      <c r="A73" s="6">
        <v>44454</v>
      </c>
      <c r="B73" s="1" t="s">
        <v>29</v>
      </c>
      <c r="C73" s="1" t="s">
        <v>47</v>
      </c>
      <c r="D73" s="1" t="s">
        <v>14</v>
      </c>
      <c r="E73" s="1">
        <v>3</v>
      </c>
      <c r="F73" s="1">
        <v>2</v>
      </c>
      <c r="G73" s="1" t="s">
        <v>11</v>
      </c>
      <c r="H73" s="1" t="s">
        <v>10</v>
      </c>
      <c r="I73" s="5">
        <v>355000</v>
      </c>
      <c r="J73" s="4">
        <v>3.9E-2</v>
      </c>
      <c r="K73" s="1" t="s">
        <v>24</v>
      </c>
      <c r="L73" s="1">
        <v>30</v>
      </c>
    </row>
    <row r="74" spans="1:12" ht="13" x14ac:dyDescent="0.15">
      <c r="A74" s="6">
        <v>44454</v>
      </c>
      <c r="B74" s="1" t="s">
        <v>16</v>
      </c>
      <c r="C74" s="1" t="s">
        <v>82</v>
      </c>
      <c r="D74" s="1" t="s">
        <v>14</v>
      </c>
      <c r="E74" s="1">
        <v>4</v>
      </c>
      <c r="F74" s="1">
        <v>1</v>
      </c>
      <c r="G74" s="1" t="s">
        <v>10</v>
      </c>
      <c r="H74" s="1" t="s">
        <v>11</v>
      </c>
      <c r="I74" s="5">
        <v>245000</v>
      </c>
      <c r="J74" s="4">
        <v>3.5000000000000003E-2</v>
      </c>
      <c r="K74" s="1" t="s">
        <v>15</v>
      </c>
      <c r="L74" s="1">
        <v>40</v>
      </c>
    </row>
    <row r="75" spans="1:12" ht="13" hidden="1" x14ac:dyDescent="0.15">
      <c r="A75" s="6">
        <v>44454</v>
      </c>
      <c r="B75" s="1" t="s">
        <v>16</v>
      </c>
      <c r="C75" s="1" t="s">
        <v>83</v>
      </c>
      <c r="D75" s="1" t="s">
        <v>14</v>
      </c>
      <c r="E75" s="1">
        <v>5</v>
      </c>
      <c r="F75" s="1">
        <v>1</v>
      </c>
      <c r="G75" s="1" t="s">
        <v>11</v>
      </c>
      <c r="H75" s="1" t="s">
        <v>10</v>
      </c>
      <c r="I75" s="5">
        <v>445000</v>
      </c>
      <c r="J75" s="4">
        <v>0.04</v>
      </c>
      <c r="K75" s="1" t="s">
        <v>18</v>
      </c>
      <c r="L75" s="1">
        <v>15</v>
      </c>
    </row>
    <row r="76" spans="1:12" ht="13" hidden="1" x14ac:dyDescent="0.15">
      <c r="A76" s="6">
        <v>44454</v>
      </c>
      <c r="B76" s="1" t="s">
        <v>16</v>
      </c>
      <c r="C76" s="1" t="s">
        <v>48</v>
      </c>
      <c r="D76" s="1" t="s">
        <v>14</v>
      </c>
      <c r="E76" s="1">
        <v>1</v>
      </c>
      <c r="F76" s="1">
        <v>1</v>
      </c>
      <c r="G76" s="1" t="s">
        <v>10</v>
      </c>
      <c r="H76" s="1" t="s">
        <v>11</v>
      </c>
      <c r="I76" s="5">
        <v>355000</v>
      </c>
      <c r="J76" s="4">
        <v>4.3999999999999997E-2</v>
      </c>
      <c r="K76" s="1" t="s">
        <v>15</v>
      </c>
      <c r="L76" s="1">
        <v>30</v>
      </c>
    </row>
    <row r="77" spans="1:12" ht="13" hidden="1" x14ac:dyDescent="0.15">
      <c r="A77" s="6">
        <v>44454</v>
      </c>
      <c r="B77" s="1" t="s">
        <v>7</v>
      </c>
      <c r="C77" s="1" t="s">
        <v>84</v>
      </c>
      <c r="D77" s="1" t="s">
        <v>20</v>
      </c>
      <c r="E77" s="1">
        <v>4</v>
      </c>
      <c r="F77" s="1">
        <v>2</v>
      </c>
      <c r="G77" s="1" t="s">
        <v>11</v>
      </c>
      <c r="H77" s="1" t="s">
        <v>10</v>
      </c>
      <c r="I77" s="5">
        <v>355000</v>
      </c>
      <c r="J77" s="4">
        <v>4.2999999999999997E-2</v>
      </c>
      <c r="K77" s="1" t="s">
        <v>21</v>
      </c>
      <c r="L77" s="1">
        <v>30</v>
      </c>
    </row>
    <row r="78" spans="1:12" ht="13" hidden="1" x14ac:dyDescent="0.15">
      <c r="A78" s="6">
        <v>44454</v>
      </c>
      <c r="B78" s="1" t="s">
        <v>31</v>
      </c>
      <c r="C78" s="1" t="s">
        <v>43</v>
      </c>
      <c r="D78" s="1" t="s">
        <v>20</v>
      </c>
      <c r="E78" s="1">
        <v>2</v>
      </c>
      <c r="F78" s="1">
        <v>2</v>
      </c>
      <c r="G78" s="1" t="s">
        <v>10</v>
      </c>
      <c r="H78" s="1" t="s">
        <v>11</v>
      </c>
      <c r="I78" s="5">
        <v>550000</v>
      </c>
      <c r="J78" s="4">
        <v>4.2999999999999997E-2</v>
      </c>
      <c r="K78" s="1" t="s">
        <v>39</v>
      </c>
      <c r="L78" s="1">
        <v>30</v>
      </c>
    </row>
    <row r="79" spans="1:12" ht="13" hidden="1" x14ac:dyDescent="0.15">
      <c r="A79" s="6">
        <v>44454</v>
      </c>
      <c r="B79" s="1" t="s">
        <v>16</v>
      </c>
      <c r="C79" s="1" t="s">
        <v>58</v>
      </c>
      <c r="D79" s="1" t="s">
        <v>20</v>
      </c>
      <c r="E79" s="1">
        <v>1</v>
      </c>
      <c r="F79" s="1">
        <v>2</v>
      </c>
      <c r="G79" s="1" t="s">
        <v>11</v>
      </c>
      <c r="H79" s="1" t="s">
        <v>10</v>
      </c>
      <c r="I79" s="5">
        <v>425000</v>
      </c>
      <c r="J79" s="4">
        <v>4.2000000000000003E-2</v>
      </c>
      <c r="K79" s="1" t="s">
        <v>24</v>
      </c>
      <c r="L79" s="1">
        <v>30</v>
      </c>
    </row>
    <row r="80" spans="1:12" ht="13" hidden="1" x14ac:dyDescent="0.15">
      <c r="A80" s="6">
        <v>44454</v>
      </c>
      <c r="B80" s="1" t="s">
        <v>16</v>
      </c>
      <c r="C80" s="1" t="s">
        <v>82</v>
      </c>
      <c r="D80" s="1" t="s">
        <v>20</v>
      </c>
      <c r="E80" s="1">
        <v>1</v>
      </c>
      <c r="F80" s="1">
        <v>2</v>
      </c>
      <c r="G80" s="1" t="s">
        <v>11</v>
      </c>
      <c r="H80" s="1" t="s">
        <v>10</v>
      </c>
      <c r="I80" s="5">
        <v>225000</v>
      </c>
      <c r="J80" s="4">
        <v>3.4000000000000002E-2</v>
      </c>
      <c r="K80" s="1" t="s">
        <v>21</v>
      </c>
      <c r="L80" s="1">
        <v>30</v>
      </c>
    </row>
    <row r="81" spans="1:12" ht="13" hidden="1" x14ac:dyDescent="0.15">
      <c r="A81" s="6">
        <v>44454</v>
      </c>
      <c r="B81" s="1" t="s">
        <v>7</v>
      </c>
      <c r="C81" s="1" t="s">
        <v>85</v>
      </c>
      <c r="D81" s="1" t="s">
        <v>9</v>
      </c>
      <c r="E81" s="1">
        <v>4</v>
      </c>
      <c r="F81" s="1">
        <v>2</v>
      </c>
      <c r="G81" s="1" t="s">
        <v>11</v>
      </c>
      <c r="H81" s="1" t="s">
        <v>10</v>
      </c>
      <c r="I81" s="5">
        <v>320000</v>
      </c>
      <c r="J81" s="4">
        <v>3.9E-2</v>
      </c>
      <c r="K81" s="1" t="s">
        <v>15</v>
      </c>
      <c r="L81" s="1">
        <v>30</v>
      </c>
    </row>
    <row r="82" spans="1:12" ht="13" hidden="1" x14ac:dyDescent="0.15">
      <c r="A82" s="6">
        <v>44454</v>
      </c>
      <c r="B82" s="1" t="s">
        <v>31</v>
      </c>
      <c r="C82" s="1" t="s">
        <v>86</v>
      </c>
      <c r="D82" s="1" t="s">
        <v>9</v>
      </c>
      <c r="E82" s="1">
        <v>5</v>
      </c>
      <c r="F82" s="1">
        <v>2</v>
      </c>
      <c r="G82" s="1" t="s">
        <v>11</v>
      </c>
      <c r="H82" s="1" t="s">
        <v>10</v>
      </c>
      <c r="I82" s="5">
        <v>320000</v>
      </c>
      <c r="J82" s="4">
        <v>3.9E-2</v>
      </c>
      <c r="K82" s="1" t="s">
        <v>39</v>
      </c>
      <c r="L82" s="1">
        <v>30</v>
      </c>
    </row>
    <row r="83" spans="1:12" ht="13" hidden="1" x14ac:dyDescent="0.15">
      <c r="A83" s="6">
        <v>44454</v>
      </c>
      <c r="B83" s="1" t="s">
        <v>29</v>
      </c>
      <c r="C83" s="1" t="s">
        <v>87</v>
      </c>
      <c r="D83" s="2" t="s">
        <v>35</v>
      </c>
      <c r="E83" s="1">
        <v>2</v>
      </c>
      <c r="F83" s="1">
        <v>1</v>
      </c>
      <c r="G83" s="1" t="s">
        <v>11</v>
      </c>
      <c r="H83" s="1" t="s">
        <v>10</v>
      </c>
      <c r="I83" s="5">
        <v>245000</v>
      </c>
      <c r="J83" s="4">
        <v>3.4000000000000002E-2</v>
      </c>
      <c r="K83" s="1" t="s">
        <v>21</v>
      </c>
      <c r="L83" s="1">
        <v>30</v>
      </c>
    </row>
    <row r="84" spans="1:12" ht="13" hidden="1" x14ac:dyDescent="0.15">
      <c r="A84" s="6">
        <v>44454</v>
      </c>
      <c r="B84" s="1" t="s">
        <v>29</v>
      </c>
      <c r="C84" s="1" t="s">
        <v>88</v>
      </c>
      <c r="D84" s="2" t="s">
        <v>35</v>
      </c>
      <c r="E84" s="1">
        <v>3</v>
      </c>
      <c r="F84" s="1">
        <v>1</v>
      </c>
      <c r="G84" s="1" t="s">
        <v>10</v>
      </c>
      <c r="H84" s="1" t="s">
        <v>11</v>
      </c>
      <c r="I84" s="5">
        <v>245000</v>
      </c>
      <c r="J84" s="4">
        <v>3.3000000000000002E-2</v>
      </c>
      <c r="K84" s="1" t="s">
        <v>28</v>
      </c>
      <c r="L84" s="1">
        <v>40</v>
      </c>
    </row>
    <row r="85" spans="1:12" ht="13" hidden="1" x14ac:dyDescent="0.15">
      <c r="A85" s="6">
        <v>44454</v>
      </c>
      <c r="B85" s="1" t="s">
        <v>31</v>
      </c>
      <c r="C85" s="1" t="s">
        <v>89</v>
      </c>
      <c r="D85" s="2" t="s">
        <v>35</v>
      </c>
      <c r="E85" s="1">
        <v>3</v>
      </c>
      <c r="F85" s="1">
        <v>2</v>
      </c>
      <c r="G85" s="1" t="s">
        <v>10</v>
      </c>
      <c r="H85" s="1" t="s">
        <v>11</v>
      </c>
      <c r="I85" s="5">
        <v>440000</v>
      </c>
      <c r="J85" s="4">
        <v>3.7999999999999999E-2</v>
      </c>
      <c r="K85" s="1" t="s">
        <v>39</v>
      </c>
      <c r="L85" s="1">
        <v>30</v>
      </c>
    </row>
    <row r="86" spans="1:12" ht="13" hidden="1" x14ac:dyDescent="0.15">
      <c r="A86" s="6">
        <v>44454</v>
      </c>
      <c r="B86" s="1" t="s">
        <v>31</v>
      </c>
      <c r="C86" s="1" t="s">
        <v>90</v>
      </c>
      <c r="D86" s="2" t="s">
        <v>35</v>
      </c>
      <c r="E86" s="1">
        <v>4</v>
      </c>
      <c r="F86" s="1">
        <v>1</v>
      </c>
      <c r="G86" s="1" t="s">
        <v>10</v>
      </c>
      <c r="H86" s="1" t="s">
        <v>11</v>
      </c>
      <c r="I86" s="5">
        <v>440000</v>
      </c>
      <c r="J86" s="4">
        <v>4.2999999999999997E-2</v>
      </c>
      <c r="K86" s="1" t="s">
        <v>24</v>
      </c>
      <c r="L86" s="1">
        <v>30</v>
      </c>
    </row>
    <row r="87" spans="1:12" ht="13" hidden="1" x14ac:dyDescent="0.15">
      <c r="A87" s="6">
        <v>44452</v>
      </c>
      <c r="B87" s="1" t="s">
        <v>7</v>
      </c>
      <c r="C87" s="1" t="s">
        <v>91</v>
      </c>
      <c r="D87" s="1" t="s">
        <v>14</v>
      </c>
      <c r="E87" s="1">
        <v>1</v>
      </c>
      <c r="F87" s="1">
        <v>1</v>
      </c>
      <c r="G87" s="1" t="s">
        <v>10</v>
      </c>
      <c r="H87" s="1" t="s">
        <v>11</v>
      </c>
      <c r="I87" s="5">
        <v>440000</v>
      </c>
      <c r="J87" s="4">
        <v>3.5000000000000003E-2</v>
      </c>
      <c r="K87" s="1" t="s">
        <v>39</v>
      </c>
      <c r="L87" s="1">
        <v>40</v>
      </c>
    </row>
    <row r="88" spans="1:12" ht="13" hidden="1" x14ac:dyDescent="0.15">
      <c r="A88" s="6">
        <v>44452</v>
      </c>
      <c r="B88" s="1" t="s">
        <v>29</v>
      </c>
      <c r="C88" s="1" t="s">
        <v>62</v>
      </c>
      <c r="D88" s="1" t="s">
        <v>14</v>
      </c>
      <c r="E88" s="1">
        <v>5</v>
      </c>
      <c r="F88" s="1">
        <v>2</v>
      </c>
      <c r="G88" s="1" t="s">
        <v>11</v>
      </c>
      <c r="H88" s="1" t="s">
        <v>10</v>
      </c>
      <c r="I88" s="5">
        <v>440000</v>
      </c>
      <c r="J88" s="4">
        <v>3.9E-2</v>
      </c>
      <c r="K88" s="1" t="s">
        <v>39</v>
      </c>
      <c r="L88" s="1">
        <v>30</v>
      </c>
    </row>
    <row r="89" spans="1:12" ht="13" hidden="1" x14ac:dyDescent="0.15">
      <c r="A89" s="6">
        <v>44452</v>
      </c>
      <c r="B89" s="1" t="s">
        <v>12</v>
      </c>
      <c r="C89" s="1" t="s">
        <v>92</v>
      </c>
      <c r="D89" s="1" t="s">
        <v>20</v>
      </c>
      <c r="E89" s="1">
        <v>4</v>
      </c>
      <c r="F89" s="1">
        <v>2</v>
      </c>
      <c r="G89" s="1" t="s">
        <v>11</v>
      </c>
      <c r="H89" s="1" t="s">
        <v>10</v>
      </c>
      <c r="I89" s="5">
        <v>440000</v>
      </c>
      <c r="J89" s="4">
        <v>3.6999999999999998E-2</v>
      </c>
      <c r="K89" s="1" t="s">
        <v>28</v>
      </c>
      <c r="L89" s="1">
        <v>30</v>
      </c>
    </row>
    <row r="90" spans="1:12" ht="13" hidden="1" x14ac:dyDescent="0.15">
      <c r="A90" s="6">
        <v>44452</v>
      </c>
      <c r="B90" s="1" t="s">
        <v>12</v>
      </c>
      <c r="C90" s="1" t="s">
        <v>93</v>
      </c>
      <c r="D90" s="1" t="s">
        <v>20</v>
      </c>
      <c r="E90" s="1">
        <v>3</v>
      </c>
      <c r="F90" s="1">
        <v>1</v>
      </c>
      <c r="G90" s="1" t="s">
        <v>11</v>
      </c>
      <c r="H90" s="1" t="s">
        <v>10</v>
      </c>
      <c r="I90" s="5">
        <v>245000</v>
      </c>
      <c r="J90" s="4">
        <v>3.5999999999999997E-2</v>
      </c>
      <c r="K90" s="1" t="s">
        <v>21</v>
      </c>
      <c r="L90" s="1">
        <v>30</v>
      </c>
    </row>
    <row r="91" spans="1:12" ht="13" hidden="1" x14ac:dyDescent="0.15">
      <c r="A91" s="6">
        <v>44452</v>
      </c>
      <c r="B91" s="1" t="s">
        <v>29</v>
      </c>
      <c r="C91" s="1" t="s">
        <v>91</v>
      </c>
      <c r="D91" s="1" t="s">
        <v>20</v>
      </c>
      <c r="E91" s="1">
        <v>1</v>
      </c>
      <c r="F91" s="1">
        <v>1</v>
      </c>
      <c r="G91" s="1" t="s">
        <v>10</v>
      </c>
      <c r="H91" s="1" t="s">
        <v>11</v>
      </c>
      <c r="I91" s="5">
        <v>575000</v>
      </c>
      <c r="J91" s="4">
        <v>3.7999999999999999E-2</v>
      </c>
      <c r="K91" s="1" t="s">
        <v>24</v>
      </c>
      <c r="L91" s="1">
        <v>30</v>
      </c>
    </row>
    <row r="92" spans="1:12" ht="13" hidden="1" x14ac:dyDescent="0.15">
      <c r="A92" s="6">
        <v>44452</v>
      </c>
      <c r="B92" s="1" t="s">
        <v>16</v>
      </c>
      <c r="C92" s="1" t="s">
        <v>83</v>
      </c>
      <c r="D92" s="1" t="s">
        <v>20</v>
      </c>
      <c r="E92" s="1">
        <v>2</v>
      </c>
      <c r="F92" s="1">
        <v>2</v>
      </c>
      <c r="G92" s="1" t="s">
        <v>11</v>
      </c>
      <c r="H92" s="1" t="s">
        <v>10</v>
      </c>
      <c r="I92" s="5">
        <v>390000</v>
      </c>
      <c r="J92" s="4">
        <v>4.1000000000000002E-2</v>
      </c>
      <c r="K92" s="1" t="s">
        <v>39</v>
      </c>
      <c r="L92" s="1">
        <v>30</v>
      </c>
    </row>
    <row r="93" spans="1:12" ht="13" hidden="1" x14ac:dyDescent="0.15">
      <c r="A93" s="6">
        <v>44452</v>
      </c>
      <c r="B93" s="1" t="s">
        <v>12</v>
      </c>
      <c r="C93" s="1" t="s">
        <v>94</v>
      </c>
      <c r="D93" s="1" t="s">
        <v>9</v>
      </c>
      <c r="E93" s="1">
        <v>5</v>
      </c>
      <c r="F93" s="1">
        <v>1</v>
      </c>
      <c r="G93" s="1" t="s">
        <v>11</v>
      </c>
      <c r="H93" s="1" t="s">
        <v>10</v>
      </c>
      <c r="I93" s="5">
        <v>575000</v>
      </c>
      <c r="J93" s="4">
        <v>3.9E-2</v>
      </c>
      <c r="K93" s="1" t="s">
        <v>18</v>
      </c>
      <c r="L93" s="1">
        <v>30</v>
      </c>
    </row>
    <row r="94" spans="1:12" ht="13" hidden="1" x14ac:dyDescent="0.15">
      <c r="A94" s="6">
        <v>44452</v>
      </c>
      <c r="B94" s="1" t="s">
        <v>7</v>
      </c>
      <c r="C94" s="1" t="s">
        <v>80</v>
      </c>
      <c r="D94" s="1" t="s">
        <v>9</v>
      </c>
      <c r="E94" s="1">
        <v>3</v>
      </c>
      <c r="F94" s="1">
        <v>2</v>
      </c>
      <c r="G94" s="1" t="s">
        <v>10</v>
      </c>
      <c r="H94" s="1" t="s">
        <v>11</v>
      </c>
      <c r="I94" s="5">
        <v>550000</v>
      </c>
      <c r="J94" s="4">
        <v>3.2000000000000001E-2</v>
      </c>
      <c r="K94" s="1" t="s">
        <v>15</v>
      </c>
      <c r="L94" s="1">
        <v>30</v>
      </c>
    </row>
    <row r="95" spans="1:12" ht="13" hidden="1" x14ac:dyDescent="0.15">
      <c r="A95" s="6">
        <v>44452</v>
      </c>
      <c r="B95" s="1" t="s">
        <v>7</v>
      </c>
      <c r="C95" s="1" t="s">
        <v>95</v>
      </c>
      <c r="D95" s="1" t="s">
        <v>9</v>
      </c>
      <c r="E95" s="1">
        <v>3</v>
      </c>
      <c r="F95" s="1">
        <v>1</v>
      </c>
      <c r="G95" s="1" t="s">
        <v>10</v>
      </c>
      <c r="H95" s="1" t="s">
        <v>11</v>
      </c>
      <c r="I95" s="5">
        <v>445000</v>
      </c>
      <c r="J95" s="4">
        <v>3.7999999999999999E-2</v>
      </c>
      <c r="K95" s="1" t="s">
        <v>18</v>
      </c>
      <c r="L95" s="1">
        <v>30</v>
      </c>
    </row>
    <row r="96" spans="1:12" ht="13" hidden="1" x14ac:dyDescent="0.15">
      <c r="A96" s="6">
        <v>44452</v>
      </c>
      <c r="B96" s="1" t="s">
        <v>29</v>
      </c>
      <c r="C96" s="1" t="s">
        <v>96</v>
      </c>
      <c r="D96" s="1" t="s">
        <v>9</v>
      </c>
      <c r="E96" s="1">
        <v>5</v>
      </c>
      <c r="F96" s="1">
        <v>1</v>
      </c>
      <c r="G96" s="1" t="s">
        <v>11</v>
      </c>
      <c r="H96" s="1" t="s">
        <v>10</v>
      </c>
      <c r="I96" s="5">
        <v>225000</v>
      </c>
      <c r="J96" s="4">
        <v>4.4999999999999998E-2</v>
      </c>
      <c r="K96" s="1" t="s">
        <v>24</v>
      </c>
      <c r="L96" s="1">
        <v>30</v>
      </c>
    </row>
    <row r="97" spans="1:12" ht="13" hidden="1" x14ac:dyDescent="0.15">
      <c r="A97" s="6">
        <v>44452</v>
      </c>
      <c r="B97" s="1" t="s">
        <v>31</v>
      </c>
      <c r="C97" s="1" t="s">
        <v>58</v>
      </c>
      <c r="D97" s="1" t="s">
        <v>9</v>
      </c>
      <c r="E97" s="1">
        <v>3</v>
      </c>
      <c r="F97" s="1">
        <v>1</v>
      </c>
      <c r="G97" s="1" t="s">
        <v>10</v>
      </c>
      <c r="H97" s="1" t="s">
        <v>11</v>
      </c>
      <c r="I97" s="5">
        <v>425000</v>
      </c>
      <c r="J97" s="4">
        <v>0.04</v>
      </c>
      <c r="K97" s="1" t="s">
        <v>18</v>
      </c>
      <c r="L97" s="1">
        <v>40</v>
      </c>
    </row>
    <row r="98" spans="1:12" ht="13" hidden="1" x14ac:dyDescent="0.15">
      <c r="A98" s="6">
        <v>44452</v>
      </c>
      <c r="B98" s="1" t="s">
        <v>7</v>
      </c>
      <c r="C98" s="1" t="s">
        <v>97</v>
      </c>
      <c r="D98" s="2" t="s">
        <v>35</v>
      </c>
      <c r="E98" s="1">
        <v>1</v>
      </c>
      <c r="F98" s="1">
        <v>1</v>
      </c>
      <c r="G98" s="1" t="s">
        <v>11</v>
      </c>
      <c r="H98" s="1" t="s">
        <v>10</v>
      </c>
      <c r="I98" s="5">
        <v>320000</v>
      </c>
      <c r="J98" s="4">
        <v>3.2000000000000001E-2</v>
      </c>
      <c r="K98" s="1" t="s">
        <v>39</v>
      </c>
      <c r="L98" s="1">
        <v>40</v>
      </c>
    </row>
    <row r="99" spans="1:12" ht="13" hidden="1" x14ac:dyDescent="0.15">
      <c r="A99" s="6">
        <v>44452</v>
      </c>
      <c r="B99" s="1" t="s">
        <v>29</v>
      </c>
      <c r="C99" s="1" t="s">
        <v>98</v>
      </c>
      <c r="D99" s="2" t="s">
        <v>35</v>
      </c>
      <c r="E99" s="1">
        <v>1</v>
      </c>
      <c r="F99" s="1">
        <v>2</v>
      </c>
      <c r="G99" s="1" t="s">
        <v>11</v>
      </c>
      <c r="H99" s="1" t="s">
        <v>10</v>
      </c>
      <c r="I99" s="5">
        <v>390000</v>
      </c>
      <c r="J99" s="4">
        <v>3.6999999999999998E-2</v>
      </c>
      <c r="K99" s="1" t="s">
        <v>39</v>
      </c>
      <c r="L99" s="1">
        <v>15</v>
      </c>
    </row>
    <row r="100" spans="1:12" ht="13" hidden="1" x14ac:dyDescent="0.15">
      <c r="A100" s="6">
        <v>44452</v>
      </c>
      <c r="B100" s="1" t="s">
        <v>16</v>
      </c>
      <c r="C100" s="1" t="s">
        <v>99</v>
      </c>
      <c r="D100" s="2" t="s">
        <v>35</v>
      </c>
      <c r="E100" s="1">
        <v>5</v>
      </c>
      <c r="F100" s="1">
        <v>1</v>
      </c>
      <c r="G100" s="1" t="s">
        <v>10</v>
      </c>
      <c r="H100" s="1" t="s">
        <v>11</v>
      </c>
      <c r="I100" s="5">
        <v>390000</v>
      </c>
      <c r="J100" s="4">
        <v>4.2000000000000003E-2</v>
      </c>
      <c r="K100" s="1" t="s">
        <v>39</v>
      </c>
      <c r="L100" s="1">
        <v>30</v>
      </c>
    </row>
    <row r="101" spans="1:12" ht="13" hidden="1" x14ac:dyDescent="0.15">
      <c r="A101" s="6">
        <v>44391</v>
      </c>
      <c r="B101" s="1" t="s">
        <v>12</v>
      </c>
      <c r="C101" s="1" t="s">
        <v>34</v>
      </c>
      <c r="D101" s="1" t="s">
        <v>14</v>
      </c>
      <c r="E101" s="1">
        <v>4</v>
      </c>
      <c r="F101" s="1">
        <v>2</v>
      </c>
      <c r="G101" s="1" t="s">
        <v>10</v>
      </c>
      <c r="H101" s="1" t="s">
        <v>11</v>
      </c>
      <c r="I101" s="5">
        <v>600000</v>
      </c>
      <c r="J101" s="4">
        <v>3.2500000000000001E-2</v>
      </c>
      <c r="K101" s="1" t="s">
        <v>18</v>
      </c>
      <c r="L101" s="1">
        <v>40</v>
      </c>
    </row>
    <row r="102" spans="1:12" ht="13" hidden="1" x14ac:dyDescent="0.15">
      <c r="A102" s="6">
        <v>44391</v>
      </c>
      <c r="B102" s="1" t="s">
        <v>7</v>
      </c>
      <c r="C102" s="1" t="s">
        <v>84</v>
      </c>
      <c r="D102" s="1" t="s">
        <v>14</v>
      </c>
      <c r="E102" s="1">
        <v>5</v>
      </c>
      <c r="F102" s="1">
        <v>1</v>
      </c>
      <c r="G102" s="1" t="s">
        <v>11</v>
      </c>
      <c r="H102" s="1" t="s">
        <v>10</v>
      </c>
      <c r="I102" s="5">
        <v>425000</v>
      </c>
      <c r="J102" s="4">
        <v>3.5000000000000003E-2</v>
      </c>
      <c r="K102" s="1" t="s">
        <v>15</v>
      </c>
      <c r="L102" s="1">
        <v>30</v>
      </c>
    </row>
    <row r="103" spans="1:12" ht="13" hidden="1" x14ac:dyDescent="0.15">
      <c r="A103" s="6">
        <v>44391</v>
      </c>
      <c r="B103" s="1" t="s">
        <v>12</v>
      </c>
      <c r="C103" s="1" t="s">
        <v>100</v>
      </c>
      <c r="D103" s="1" t="s">
        <v>20</v>
      </c>
      <c r="E103" s="1">
        <v>5</v>
      </c>
      <c r="F103" s="1">
        <v>1</v>
      </c>
      <c r="G103" s="1" t="s">
        <v>10</v>
      </c>
      <c r="H103" s="1" t="s">
        <v>11</v>
      </c>
      <c r="I103" s="5">
        <v>550000</v>
      </c>
      <c r="J103" s="4">
        <v>4.4999999999999998E-2</v>
      </c>
      <c r="K103" s="1" t="s">
        <v>39</v>
      </c>
      <c r="L103" s="1">
        <v>15</v>
      </c>
    </row>
    <row r="104" spans="1:12" ht="13" hidden="1" x14ac:dyDescent="0.15">
      <c r="A104" s="6">
        <v>44391</v>
      </c>
      <c r="B104" s="1" t="s">
        <v>12</v>
      </c>
      <c r="C104" s="1" t="s">
        <v>101</v>
      </c>
      <c r="D104" s="1" t="s">
        <v>20</v>
      </c>
      <c r="E104" s="1">
        <v>3</v>
      </c>
      <c r="F104" s="1">
        <v>2</v>
      </c>
      <c r="G104" s="1" t="s">
        <v>10</v>
      </c>
      <c r="H104" s="1" t="s">
        <v>11</v>
      </c>
      <c r="I104" s="5">
        <v>405000</v>
      </c>
      <c r="J104" s="4">
        <v>3.5000000000000003E-2</v>
      </c>
      <c r="K104" s="1" t="s">
        <v>28</v>
      </c>
      <c r="L104" s="1">
        <v>15</v>
      </c>
    </row>
    <row r="105" spans="1:12" ht="13" hidden="1" x14ac:dyDescent="0.15">
      <c r="A105" s="6">
        <v>44391</v>
      </c>
      <c r="B105" s="1" t="s">
        <v>7</v>
      </c>
      <c r="C105" s="1" t="s">
        <v>40</v>
      </c>
      <c r="D105" s="1" t="s">
        <v>20</v>
      </c>
      <c r="E105" s="1">
        <v>5</v>
      </c>
      <c r="F105" s="1">
        <v>1</v>
      </c>
      <c r="G105" s="1" t="s">
        <v>10</v>
      </c>
      <c r="H105" s="1" t="s">
        <v>11</v>
      </c>
      <c r="I105" s="5">
        <v>550000</v>
      </c>
      <c r="J105" s="4">
        <v>3.5000000000000003E-2</v>
      </c>
      <c r="K105" s="1" t="s">
        <v>18</v>
      </c>
      <c r="L105" s="1">
        <v>30</v>
      </c>
    </row>
    <row r="106" spans="1:12" ht="13" hidden="1" x14ac:dyDescent="0.15">
      <c r="A106" s="6">
        <v>44391</v>
      </c>
      <c r="B106" s="1" t="s">
        <v>16</v>
      </c>
      <c r="C106" s="1" t="s">
        <v>45</v>
      </c>
      <c r="D106" s="1" t="s">
        <v>20</v>
      </c>
      <c r="E106" s="1">
        <v>1</v>
      </c>
      <c r="F106" s="1">
        <v>1</v>
      </c>
      <c r="G106" s="1" t="s">
        <v>11</v>
      </c>
      <c r="H106" s="1" t="s">
        <v>10</v>
      </c>
      <c r="I106" s="5">
        <v>550000</v>
      </c>
      <c r="J106" s="4">
        <v>4.4999999999999998E-2</v>
      </c>
      <c r="K106" s="1" t="s">
        <v>21</v>
      </c>
      <c r="L106" s="1">
        <v>40</v>
      </c>
    </row>
    <row r="107" spans="1:12" ht="13" hidden="1" x14ac:dyDescent="0.15">
      <c r="A107" s="6">
        <v>44391</v>
      </c>
      <c r="B107" s="1" t="s">
        <v>16</v>
      </c>
      <c r="C107" s="1" t="s">
        <v>100</v>
      </c>
      <c r="D107" s="1" t="s">
        <v>20</v>
      </c>
      <c r="E107" s="1">
        <v>5</v>
      </c>
      <c r="F107" s="1">
        <v>2</v>
      </c>
      <c r="G107" s="1" t="s">
        <v>10</v>
      </c>
      <c r="H107" s="1" t="s">
        <v>11</v>
      </c>
      <c r="I107" s="5">
        <v>575000</v>
      </c>
      <c r="J107" s="4">
        <v>3.5000000000000003E-2</v>
      </c>
      <c r="K107" s="1" t="s">
        <v>24</v>
      </c>
      <c r="L107" s="1">
        <v>30</v>
      </c>
    </row>
    <row r="108" spans="1:12" ht="13" x14ac:dyDescent="0.15">
      <c r="A108" s="6">
        <v>44391</v>
      </c>
      <c r="B108" s="1" t="s">
        <v>16</v>
      </c>
      <c r="C108" s="1" t="s">
        <v>102</v>
      </c>
      <c r="D108" s="1" t="s">
        <v>20</v>
      </c>
      <c r="E108" s="1">
        <v>3</v>
      </c>
      <c r="F108" s="1">
        <v>1</v>
      </c>
      <c r="G108" s="1" t="s">
        <v>10</v>
      </c>
      <c r="H108" s="1" t="s">
        <v>11</v>
      </c>
      <c r="I108" s="5">
        <v>425000</v>
      </c>
      <c r="J108" s="4">
        <v>4.1000000000000002E-2</v>
      </c>
      <c r="K108" s="1" t="s">
        <v>39</v>
      </c>
      <c r="L108" s="1">
        <v>30</v>
      </c>
    </row>
    <row r="109" spans="1:12" ht="13" hidden="1" x14ac:dyDescent="0.15">
      <c r="A109" s="6">
        <v>44391</v>
      </c>
      <c r="B109" s="1" t="s">
        <v>7</v>
      </c>
      <c r="C109" s="1" t="s">
        <v>34</v>
      </c>
      <c r="D109" s="1" t="s">
        <v>9</v>
      </c>
      <c r="E109" s="1">
        <v>5</v>
      </c>
      <c r="F109" s="1">
        <v>1</v>
      </c>
      <c r="G109" s="1" t="s">
        <v>11</v>
      </c>
      <c r="H109" s="1" t="s">
        <v>10</v>
      </c>
      <c r="I109" s="5">
        <v>355000</v>
      </c>
      <c r="J109" s="4">
        <v>4.4999999999999998E-2</v>
      </c>
      <c r="K109" s="1" t="s">
        <v>28</v>
      </c>
      <c r="L109" s="1">
        <v>30</v>
      </c>
    </row>
    <row r="110" spans="1:12" ht="13" hidden="1" x14ac:dyDescent="0.15">
      <c r="A110" s="6">
        <v>44391</v>
      </c>
      <c r="B110" s="1" t="s">
        <v>29</v>
      </c>
      <c r="C110" s="1" t="s">
        <v>103</v>
      </c>
      <c r="D110" s="1" t="s">
        <v>9</v>
      </c>
      <c r="E110" s="1">
        <v>5</v>
      </c>
      <c r="F110" s="1">
        <v>1</v>
      </c>
      <c r="G110" s="1" t="s">
        <v>11</v>
      </c>
      <c r="H110" s="1" t="s">
        <v>10</v>
      </c>
      <c r="I110" s="5">
        <v>320000</v>
      </c>
      <c r="J110" s="4">
        <v>4.2000000000000003E-2</v>
      </c>
      <c r="K110" s="1" t="s">
        <v>39</v>
      </c>
      <c r="L110" s="1">
        <v>15</v>
      </c>
    </row>
    <row r="111" spans="1:12" ht="13" hidden="1" x14ac:dyDescent="0.15">
      <c r="A111" s="6">
        <v>44391</v>
      </c>
      <c r="B111" s="1" t="s">
        <v>29</v>
      </c>
      <c r="C111" s="1" t="s">
        <v>104</v>
      </c>
      <c r="D111" s="1" t="s">
        <v>9</v>
      </c>
      <c r="E111" s="1">
        <v>5</v>
      </c>
      <c r="F111" s="1">
        <v>2</v>
      </c>
      <c r="G111" s="1" t="s">
        <v>10</v>
      </c>
      <c r="H111" s="1" t="s">
        <v>11</v>
      </c>
      <c r="I111" s="5">
        <v>425000</v>
      </c>
      <c r="J111" s="4">
        <v>3.2000000000000001E-2</v>
      </c>
      <c r="K111" s="1" t="s">
        <v>28</v>
      </c>
      <c r="L111" s="1">
        <v>30</v>
      </c>
    </row>
    <row r="112" spans="1:12" ht="13" hidden="1" x14ac:dyDescent="0.15">
      <c r="A112" s="6">
        <v>44391</v>
      </c>
      <c r="B112" s="1" t="s">
        <v>31</v>
      </c>
      <c r="C112" s="1" t="s">
        <v>105</v>
      </c>
      <c r="D112" s="1" t="s">
        <v>9</v>
      </c>
      <c r="E112" s="1">
        <v>5</v>
      </c>
      <c r="F112" s="1">
        <v>2</v>
      </c>
      <c r="G112" s="1" t="s">
        <v>10</v>
      </c>
      <c r="H112" s="1" t="s">
        <v>11</v>
      </c>
      <c r="I112" s="5">
        <v>445000</v>
      </c>
      <c r="J112" s="4">
        <v>3.4000000000000002E-2</v>
      </c>
      <c r="K112" s="1" t="s">
        <v>21</v>
      </c>
      <c r="L112" s="1">
        <v>15</v>
      </c>
    </row>
    <row r="113" spans="1:12" ht="13" x14ac:dyDescent="0.15">
      <c r="A113" s="6">
        <v>44391</v>
      </c>
      <c r="B113" s="1" t="s">
        <v>16</v>
      </c>
      <c r="C113" s="1" t="s">
        <v>106</v>
      </c>
      <c r="D113" s="1" t="s">
        <v>9</v>
      </c>
      <c r="E113" s="1">
        <v>3</v>
      </c>
      <c r="F113" s="1">
        <v>1</v>
      </c>
      <c r="G113" s="1" t="s">
        <v>10</v>
      </c>
      <c r="H113" s="1" t="s">
        <v>11</v>
      </c>
      <c r="I113" s="5">
        <v>320000</v>
      </c>
      <c r="J113" s="4">
        <v>4.4999999999999998E-2</v>
      </c>
      <c r="K113" s="1" t="s">
        <v>15</v>
      </c>
      <c r="L113" s="1">
        <v>30</v>
      </c>
    </row>
    <row r="114" spans="1:12" ht="13" hidden="1" x14ac:dyDescent="0.15">
      <c r="A114" s="6">
        <v>44391</v>
      </c>
      <c r="B114" s="1" t="s">
        <v>12</v>
      </c>
      <c r="C114" s="1" t="s">
        <v>107</v>
      </c>
      <c r="D114" s="2" t="s">
        <v>35</v>
      </c>
      <c r="E114" s="1">
        <v>3</v>
      </c>
      <c r="F114" s="1">
        <v>2</v>
      </c>
      <c r="G114" s="1" t="s">
        <v>10</v>
      </c>
      <c r="H114" s="1" t="s">
        <v>11</v>
      </c>
      <c r="I114" s="5">
        <v>225000</v>
      </c>
      <c r="J114" s="4">
        <v>4.2999999999999997E-2</v>
      </c>
      <c r="K114" s="1" t="s">
        <v>15</v>
      </c>
      <c r="L114" s="1">
        <v>40</v>
      </c>
    </row>
    <row r="115" spans="1:12" ht="13" hidden="1" x14ac:dyDescent="0.15">
      <c r="A115" s="6">
        <v>44391</v>
      </c>
      <c r="B115" s="1" t="s">
        <v>29</v>
      </c>
      <c r="C115" s="1" t="s">
        <v>99</v>
      </c>
      <c r="D115" s="2" t="s">
        <v>35</v>
      </c>
      <c r="E115" s="1">
        <v>2</v>
      </c>
      <c r="F115" s="1">
        <v>2</v>
      </c>
      <c r="G115" s="1" t="s">
        <v>11</v>
      </c>
      <c r="H115" s="1" t="s">
        <v>10</v>
      </c>
      <c r="I115" s="5">
        <v>550000</v>
      </c>
      <c r="J115" s="4">
        <v>4.2000000000000003E-2</v>
      </c>
      <c r="K115" s="1" t="s">
        <v>21</v>
      </c>
      <c r="L115" s="1">
        <v>30</v>
      </c>
    </row>
    <row r="116" spans="1:12" ht="13" hidden="1" x14ac:dyDescent="0.15">
      <c r="A116" s="6">
        <v>44391</v>
      </c>
      <c r="B116" s="1" t="s">
        <v>29</v>
      </c>
      <c r="C116" s="1" t="s">
        <v>108</v>
      </c>
      <c r="D116" s="2" t="s">
        <v>35</v>
      </c>
      <c r="E116" s="1">
        <v>2</v>
      </c>
      <c r="F116" s="1">
        <v>1</v>
      </c>
      <c r="G116" s="1" t="s">
        <v>10</v>
      </c>
      <c r="H116" s="1" t="s">
        <v>11</v>
      </c>
      <c r="I116" s="5">
        <v>440000</v>
      </c>
      <c r="J116" s="4">
        <v>4.2000000000000003E-2</v>
      </c>
      <c r="K116" s="1" t="s">
        <v>18</v>
      </c>
      <c r="L116" s="1">
        <v>15</v>
      </c>
    </row>
    <row r="117" spans="1:12" ht="13" hidden="1" x14ac:dyDescent="0.15">
      <c r="A117" s="6">
        <v>44391</v>
      </c>
      <c r="B117" s="1" t="s">
        <v>29</v>
      </c>
      <c r="C117" s="1" t="s">
        <v>109</v>
      </c>
      <c r="D117" s="2" t="s">
        <v>35</v>
      </c>
      <c r="E117" s="1">
        <v>2</v>
      </c>
      <c r="F117" s="1">
        <v>1</v>
      </c>
      <c r="G117" s="1" t="s">
        <v>11</v>
      </c>
      <c r="H117" s="1" t="s">
        <v>10</v>
      </c>
      <c r="I117" s="5">
        <v>575000</v>
      </c>
      <c r="J117" s="4">
        <v>4.1000000000000002E-2</v>
      </c>
      <c r="K117" s="1" t="s">
        <v>21</v>
      </c>
      <c r="L117" s="1">
        <v>30</v>
      </c>
    </row>
    <row r="118" spans="1:12" ht="13" hidden="1" x14ac:dyDescent="0.15">
      <c r="A118" s="6">
        <v>44391</v>
      </c>
      <c r="B118" s="1" t="s">
        <v>31</v>
      </c>
      <c r="C118" s="1" t="s">
        <v>58</v>
      </c>
      <c r="D118" s="2" t="s">
        <v>35</v>
      </c>
      <c r="E118" s="1">
        <v>3</v>
      </c>
      <c r="F118" s="1">
        <v>1</v>
      </c>
      <c r="G118" s="1" t="s">
        <v>10</v>
      </c>
      <c r="H118" s="1" t="s">
        <v>11</v>
      </c>
      <c r="I118" s="5">
        <v>245000</v>
      </c>
      <c r="J118" s="4">
        <v>4.2000000000000003E-2</v>
      </c>
      <c r="K118" s="1" t="s">
        <v>18</v>
      </c>
      <c r="L118" s="1">
        <v>30</v>
      </c>
    </row>
    <row r="119" spans="1:12" ht="13" hidden="1" x14ac:dyDescent="0.15">
      <c r="A119" s="6">
        <v>44304</v>
      </c>
      <c r="B119" s="1" t="s">
        <v>7</v>
      </c>
      <c r="C119" s="1" t="s">
        <v>75</v>
      </c>
      <c r="D119" s="1" t="s">
        <v>14</v>
      </c>
      <c r="E119" s="1">
        <v>5</v>
      </c>
      <c r="F119" s="1">
        <v>1</v>
      </c>
      <c r="G119" s="1" t="s">
        <v>10</v>
      </c>
      <c r="H119" s="1" t="s">
        <v>11</v>
      </c>
      <c r="I119" s="5">
        <v>575000</v>
      </c>
      <c r="J119" s="4">
        <v>3.9E-2</v>
      </c>
      <c r="K119" s="1" t="s">
        <v>15</v>
      </c>
      <c r="L119" s="1">
        <v>15</v>
      </c>
    </row>
    <row r="120" spans="1:12" ht="13" hidden="1" x14ac:dyDescent="0.15">
      <c r="A120" s="6">
        <v>44304</v>
      </c>
      <c r="B120" s="1" t="s">
        <v>16</v>
      </c>
      <c r="C120" s="1" t="s">
        <v>58</v>
      </c>
      <c r="D120" s="1" t="s">
        <v>14</v>
      </c>
      <c r="E120" s="1">
        <v>1</v>
      </c>
      <c r="F120" s="1">
        <v>2</v>
      </c>
      <c r="G120" s="1" t="s">
        <v>10</v>
      </c>
      <c r="H120" s="1" t="s">
        <v>11</v>
      </c>
      <c r="I120" s="5">
        <v>575000</v>
      </c>
      <c r="J120" s="4">
        <v>4.3999999999999997E-2</v>
      </c>
      <c r="K120" s="1" t="s">
        <v>39</v>
      </c>
      <c r="L120" s="1">
        <v>30</v>
      </c>
    </row>
    <row r="121" spans="1:12" ht="13" hidden="1" x14ac:dyDescent="0.15">
      <c r="A121" s="6">
        <v>44304</v>
      </c>
      <c r="B121" s="1" t="s">
        <v>12</v>
      </c>
      <c r="C121" s="1" t="s">
        <v>66</v>
      </c>
      <c r="D121" s="1" t="s">
        <v>20</v>
      </c>
      <c r="E121" s="1">
        <v>3</v>
      </c>
      <c r="F121" s="1">
        <v>1</v>
      </c>
      <c r="G121" s="1" t="s">
        <v>11</v>
      </c>
      <c r="H121" s="1" t="s">
        <v>10</v>
      </c>
      <c r="I121" s="5">
        <v>355000</v>
      </c>
      <c r="J121" s="4">
        <v>0.04</v>
      </c>
      <c r="K121" s="1" t="s">
        <v>28</v>
      </c>
      <c r="L121" s="1">
        <v>15</v>
      </c>
    </row>
    <row r="122" spans="1:12" ht="13" hidden="1" x14ac:dyDescent="0.15">
      <c r="A122" s="6">
        <v>44304</v>
      </c>
      <c r="B122" s="1" t="s">
        <v>31</v>
      </c>
      <c r="C122" s="1" t="s">
        <v>81</v>
      </c>
      <c r="D122" s="1" t="s">
        <v>20</v>
      </c>
      <c r="E122" s="1">
        <v>4</v>
      </c>
      <c r="F122" s="1">
        <v>1</v>
      </c>
      <c r="G122" s="1" t="s">
        <v>11</v>
      </c>
      <c r="H122" s="1" t="s">
        <v>10</v>
      </c>
      <c r="I122" s="5">
        <v>385000</v>
      </c>
      <c r="J122" s="4">
        <v>3.5000000000000003E-2</v>
      </c>
      <c r="K122" s="1" t="s">
        <v>24</v>
      </c>
      <c r="L122" s="1">
        <v>15</v>
      </c>
    </row>
    <row r="123" spans="1:12" ht="13" hidden="1" x14ac:dyDescent="0.15">
      <c r="A123" s="6">
        <v>44304</v>
      </c>
      <c r="B123" s="1" t="s">
        <v>31</v>
      </c>
      <c r="C123" s="1" t="s">
        <v>110</v>
      </c>
      <c r="D123" s="1" t="s">
        <v>20</v>
      </c>
      <c r="E123" s="1">
        <v>4</v>
      </c>
      <c r="F123" s="1">
        <v>1</v>
      </c>
      <c r="G123" s="1" t="s">
        <v>10</v>
      </c>
      <c r="H123" s="1" t="s">
        <v>11</v>
      </c>
      <c r="I123" s="5">
        <v>425000</v>
      </c>
      <c r="J123" s="4">
        <v>4.2000000000000003E-2</v>
      </c>
      <c r="K123" s="1" t="s">
        <v>15</v>
      </c>
      <c r="L123" s="1">
        <v>30</v>
      </c>
    </row>
    <row r="124" spans="1:12" ht="13" x14ac:dyDescent="0.15">
      <c r="A124" s="6">
        <v>44304</v>
      </c>
      <c r="B124" s="1" t="s">
        <v>16</v>
      </c>
      <c r="C124" s="1" t="s">
        <v>17</v>
      </c>
      <c r="D124" s="1" t="s">
        <v>20</v>
      </c>
      <c r="E124" s="1">
        <v>4</v>
      </c>
      <c r="F124" s="1">
        <v>1</v>
      </c>
      <c r="G124" s="1" t="s">
        <v>11</v>
      </c>
      <c r="H124" s="1" t="s">
        <v>10</v>
      </c>
      <c r="I124" s="5">
        <v>385000</v>
      </c>
      <c r="J124" s="4">
        <v>3.7999999999999999E-2</v>
      </c>
      <c r="K124" s="1" t="s">
        <v>39</v>
      </c>
      <c r="L124" s="1">
        <v>40</v>
      </c>
    </row>
    <row r="125" spans="1:12" ht="13" hidden="1" x14ac:dyDescent="0.15">
      <c r="A125" s="6">
        <v>44304</v>
      </c>
      <c r="B125" s="1" t="s">
        <v>12</v>
      </c>
      <c r="C125" s="1" t="s">
        <v>111</v>
      </c>
      <c r="D125" s="1" t="s">
        <v>9</v>
      </c>
      <c r="E125" s="1">
        <v>5</v>
      </c>
      <c r="F125" s="1">
        <v>2</v>
      </c>
      <c r="G125" s="1" t="s">
        <v>10</v>
      </c>
      <c r="H125" s="1" t="s">
        <v>11</v>
      </c>
      <c r="I125" s="5">
        <v>355000</v>
      </c>
      <c r="J125" s="4">
        <v>3.2000000000000001E-2</v>
      </c>
      <c r="K125" s="1" t="s">
        <v>24</v>
      </c>
      <c r="L125" s="1">
        <v>30</v>
      </c>
    </row>
    <row r="126" spans="1:12" ht="13" hidden="1" x14ac:dyDescent="0.15">
      <c r="A126" s="6">
        <v>44304</v>
      </c>
      <c r="B126" s="1" t="s">
        <v>12</v>
      </c>
      <c r="C126" s="1" t="s">
        <v>112</v>
      </c>
      <c r="D126" s="1" t="s">
        <v>9</v>
      </c>
      <c r="E126" s="1">
        <v>2</v>
      </c>
      <c r="F126" s="1">
        <v>2</v>
      </c>
      <c r="G126" s="1" t="s">
        <v>10</v>
      </c>
      <c r="H126" s="1" t="s">
        <v>11</v>
      </c>
      <c r="I126" s="5">
        <v>445000</v>
      </c>
      <c r="J126" s="4">
        <v>3.2000000000000001E-2</v>
      </c>
      <c r="K126" s="1" t="s">
        <v>24</v>
      </c>
      <c r="L126" s="1">
        <v>30</v>
      </c>
    </row>
    <row r="127" spans="1:12" ht="13" hidden="1" x14ac:dyDescent="0.15">
      <c r="A127" s="6">
        <v>44304</v>
      </c>
      <c r="B127" s="1" t="s">
        <v>31</v>
      </c>
      <c r="C127" s="1" t="s">
        <v>71</v>
      </c>
      <c r="D127" s="1" t="s">
        <v>9</v>
      </c>
      <c r="E127" s="1">
        <v>5</v>
      </c>
      <c r="F127" s="1">
        <v>2</v>
      </c>
      <c r="G127" s="1" t="s">
        <v>10</v>
      </c>
      <c r="H127" s="1" t="s">
        <v>11</v>
      </c>
      <c r="I127" s="5">
        <v>245000</v>
      </c>
      <c r="J127" s="4">
        <v>0.04</v>
      </c>
      <c r="K127" s="1" t="s">
        <v>24</v>
      </c>
      <c r="L127" s="1">
        <v>15</v>
      </c>
    </row>
    <row r="128" spans="1:12" ht="13" hidden="1" x14ac:dyDescent="0.15">
      <c r="A128" s="6">
        <v>44304</v>
      </c>
      <c r="B128" s="1" t="s">
        <v>31</v>
      </c>
      <c r="C128" s="1" t="s">
        <v>113</v>
      </c>
      <c r="D128" s="1" t="s">
        <v>9</v>
      </c>
      <c r="E128" s="1">
        <v>3</v>
      </c>
      <c r="F128" s="1">
        <v>1</v>
      </c>
      <c r="G128" s="1" t="s">
        <v>10</v>
      </c>
      <c r="H128" s="1" t="s">
        <v>11</v>
      </c>
      <c r="I128" s="5">
        <v>575000</v>
      </c>
      <c r="J128" s="4">
        <v>4.1000000000000002E-2</v>
      </c>
      <c r="K128" s="1" t="s">
        <v>18</v>
      </c>
      <c r="L128" s="1">
        <v>30</v>
      </c>
    </row>
    <row r="129" spans="1:12" ht="13" hidden="1" x14ac:dyDescent="0.15">
      <c r="A129" s="6">
        <v>44304</v>
      </c>
      <c r="B129" s="1" t="s">
        <v>16</v>
      </c>
      <c r="C129" s="1" t="s">
        <v>114</v>
      </c>
      <c r="D129" s="1" t="s">
        <v>9</v>
      </c>
      <c r="E129" s="1">
        <v>5</v>
      </c>
      <c r="F129" s="1">
        <v>2</v>
      </c>
      <c r="G129" s="1" t="s">
        <v>10</v>
      </c>
      <c r="H129" s="1" t="s">
        <v>11</v>
      </c>
      <c r="I129" s="5">
        <v>355000</v>
      </c>
      <c r="J129" s="4">
        <v>4.4999999999999998E-2</v>
      </c>
      <c r="K129" s="1" t="s">
        <v>15</v>
      </c>
      <c r="L129" s="1">
        <v>40</v>
      </c>
    </row>
    <row r="130" spans="1:12" ht="13" hidden="1" x14ac:dyDescent="0.15">
      <c r="A130" s="6">
        <v>44304</v>
      </c>
      <c r="B130" s="1" t="s">
        <v>12</v>
      </c>
      <c r="C130" s="1" t="s">
        <v>82</v>
      </c>
      <c r="D130" s="2" t="s">
        <v>35</v>
      </c>
      <c r="E130" s="1">
        <v>1</v>
      </c>
      <c r="F130" s="1">
        <v>2</v>
      </c>
      <c r="G130" s="1" t="s">
        <v>11</v>
      </c>
      <c r="H130" s="1" t="s">
        <v>10</v>
      </c>
      <c r="I130" s="5">
        <v>425000</v>
      </c>
      <c r="J130" s="4">
        <v>4.1000000000000002E-2</v>
      </c>
      <c r="K130" s="1" t="s">
        <v>21</v>
      </c>
      <c r="L130" s="1">
        <v>40</v>
      </c>
    </row>
    <row r="131" spans="1:12" ht="13" hidden="1" x14ac:dyDescent="0.15">
      <c r="A131" s="6">
        <v>44304</v>
      </c>
      <c r="B131" s="1" t="s">
        <v>7</v>
      </c>
      <c r="C131" s="1" t="s">
        <v>69</v>
      </c>
      <c r="D131" s="2" t="s">
        <v>35</v>
      </c>
      <c r="E131" s="1">
        <v>3</v>
      </c>
      <c r="F131" s="1">
        <v>1</v>
      </c>
      <c r="G131" s="1" t="s">
        <v>10</v>
      </c>
      <c r="H131" s="1" t="s">
        <v>11</v>
      </c>
      <c r="I131" s="5">
        <v>445000</v>
      </c>
      <c r="J131" s="4">
        <v>3.6999999999999998E-2</v>
      </c>
      <c r="K131" s="1" t="s">
        <v>15</v>
      </c>
      <c r="L131" s="1">
        <v>30</v>
      </c>
    </row>
    <row r="132" spans="1:12" ht="13" hidden="1" x14ac:dyDescent="0.15">
      <c r="A132" s="6">
        <v>44304</v>
      </c>
      <c r="B132" s="1" t="s">
        <v>7</v>
      </c>
      <c r="C132" s="1" t="s">
        <v>115</v>
      </c>
      <c r="D132" s="2" t="s">
        <v>35</v>
      </c>
      <c r="E132" s="1">
        <v>5</v>
      </c>
      <c r="F132" s="1">
        <v>2</v>
      </c>
      <c r="G132" s="1" t="s">
        <v>10</v>
      </c>
      <c r="H132" s="1" t="s">
        <v>11</v>
      </c>
      <c r="I132" s="5">
        <v>395000</v>
      </c>
      <c r="J132" s="4">
        <v>3.3000000000000002E-2</v>
      </c>
      <c r="K132" s="1" t="s">
        <v>39</v>
      </c>
      <c r="L132" s="1">
        <v>40</v>
      </c>
    </row>
    <row r="133" spans="1:12" ht="13" hidden="1" x14ac:dyDescent="0.15">
      <c r="A133" s="6">
        <v>44304</v>
      </c>
      <c r="B133" s="1" t="s">
        <v>7</v>
      </c>
      <c r="C133" s="1" t="s">
        <v>116</v>
      </c>
      <c r="D133" s="2" t="s">
        <v>35</v>
      </c>
      <c r="E133" s="1">
        <v>2</v>
      </c>
      <c r="F133" s="1">
        <v>1</v>
      </c>
      <c r="G133" s="1" t="s">
        <v>11</v>
      </c>
      <c r="H133" s="1" t="s">
        <v>10</v>
      </c>
      <c r="I133" s="5">
        <v>245000</v>
      </c>
      <c r="J133" s="4">
        <v>3.5999999999999997E-2</v>
      </c>
      <c r="K133" s="1" t="s">
        <v>28</v>
      </c>
      <c r="L133" s="1">
        <v>30</v>
      </c>
    </row>
    <row r="134" spans="1:12" ht="13" hidden="1" x14ac:dyDescent="0.15">
      <c r="A134" s="6">
        <v>44304</v>
      </c>
      <c r="B134" s="1" t="s">
        <v>29</v>
      </c>
      <c r="C134" s="1" t="s">
        <v>117</v>
      </c>
      <c r="D134" s="2" t="s">
        <v>35</v>
      </c>
      <c r="E134" s="1">
        <v>1</v>
      </c>
      <c r="F134" s="1">
        <v>2</v>
      </c>
      <c r="G134" s="1" t="s">
        <v>10</v>
      </c>
      <c r="H134" s="1" t="s">
        <v>11</v>
      </c>
      <c r="I134" s="5">
        <v>320000</v>
      </c>
      <c r="J134" s="4">
        <v>3.6999999999999998E-2</v>
      </c>
      <c r="K134" s="1" t="s">
        <v>39</v>
      </c>
      <c r="L134" s="1">
        <v>30</v>
      </c>
    </row>
    <row r="135" spans="1:12" ht="13" hidden="1" x14ac:dyDescent="0.15">
      <c r="A135" s="6">
        <v>44304</v>
      </c>
      <c r="B135" s="1" t="s">
        <v>29</v>
      </c>
      <c r="C135" s="1" t="s">
        <v>118</v>
      </c>
      <c r="D135" s="2" t="s">
        <v>35</v>
      </c>
      <c r="E135" s="1">
        <v>2</v>
      </c>
      <c r="F135" s="1">
        <v>1</v>
      </c>
      <c r="G135" s="1" t="s">
        <v>10</v>
      </c>
      <c r="H135" s="1" t="s">
        <v>11</v>
      </c>
      <c r="I135" s="5">
        <v>445000</v>
      </c>
      <c r="J135" s="4">
        <v>3.4000000000000002E-2</v>
      </c>
      <c r="K135" s="1" t="s">
        <v>24</v>
      </c>
      <c r="L135" s="1">
        <v>30</v>
      </c>
    </row>
    <row r="136" spans="1:12" ht="13" hidden="1" x14ac:dyDescent="0.15">
      <c r="A136" s="6">
        <v>44304</v>
      </c>
      <c r="B136" s="1" t="s">
        <v>29</v>
      </c>
      <c r="C136" s="1" t="s">
        <v>119</v>
      </c>
      <c r="D136" s="2" t="s">
        <v>35</v>
      </c>
      <c r="E136" s="1">
        <v>4</v>
      </c>
      <c r="F136" s="1">
        <v>2</v>
      </c>
      <c r="G136" s="1" t="s">
        <v>11</v>
      </c>
      <c r="H136" s="1" t="s">
        <v>10</v>
      </c>
      <c r="I136" s="5">
        <v>445000</v>
      </c>
      <c r="J136" s="4">
        <v>3.3000000000000002E-2</v>
      </c>
      <c r="K136" s="1" t="s">
        <v>15</v>
      </c>
      <c r="L136" s="1">
        <v>30</v>
      </c>
    </row>
    <row r="137" spans="1:12" ht="13" hidden="1" x14ac:dyDescent="0.15">
      <c r="A137" s="6">
        <v>44304</v>
      </c>
      <c r="B137" s="1" t="s">
        <v>31</v>
      </c>
      <c r="C137" s="1" t="s">
        <v>76</v>
      </c>
      <c r="D137" s="2" t="s">
        <v>35</v>
      </c>
      <c r="E137" s="1">
        <v>4</v>
      </c>
      <c r="F137" s="1">
        <v>1</v>
      </c>
      <c r="G137" s="1" t="s">
        <v>10</v>
      </c>
      <c r="H137" s="1" t="s">
        <v>11</v>
      </c>
      <c r="I137" s="5">
        <v>575000</v>
      </c>
      <c r="J137" s="4">
        <v>3.4000000000000002E-2</v>
      </c>
      <c r="K137" s="1" t="s">
        <v>39</v>
      </c>
      <c r="L137" s="1">
        <v>30</v>
      </c>
    </row>
    <row r="138" spans="1:12" ht="13" hidden="1" x14ac:dyDescent="0.15">
      <c r="A138" s="6">
        <v>44304</v>
      </c>
      <c r="B138" s="1" t="s">
        <v>31</v>
      </c>
      <c r="C138" s="1" t="s">
        <v>120</v>
      </c>
      <c r="D138" s="2" t="s">
        <v>35</v>
      </c>
      <c r="E138" s="1">
        <v>3</v>
      </c>
      <c r="F138" s="1">
        <v>2</v>
      </c>
      <c r="G138" s="1" t="s">
        <v>10</v>
      </c>
      <c r="H138" s="1" t="s">
        <v>11</v>
      </c>
      <c r="I138" s="5">
        <v>355000</v>
      </c>
      <c r="J138" s="4">
        <v>3.5999999999999997E-2</v>
      </c>
      <c r="K138" s="1" t="s">
        <v>24</v>
      </c>
      <c r="L138" s="1">
        <v>30</v>
      </c>
    </row>
    <row r="139" spans="1:12" ht="13" x14ac:dyDescent="0.15">
      <c r="A139" s="6">
        <v>44304</v>
      </c>
      <c r="B139" s="1" t="s">
        <v>16</v>
      </c>
      <c r="C139" s="1" t="s">
        <v>76</v>
      </c>
      <c r="D139" s="2" t="s">
        <v>35</v>
      </c>
      <c r="E139" s="1">
        <v>4</v>
      </c>
      <c r="F139" s="1">
        <v>2</v>
      </c>
      <c r="G139" s="1" t="s">
        <v>10</v>
      </c>
      <c r="H139" s="1" t="s">
        <v>11</v>
      </c>
      <c r="I139" s="5">
        <v>575000</v>
      </c>
      <c r="J139" s="4">
        <v>0.04</v>
      </c>
      <c r="K139" s="1" t="s">
        <v>18</v>
      </c>
      <c r="L139" s="1">
        <v>30</v>
      </c>
    </row>
    <row r="140" spans="1:12" ht="13" x14ac:dyDescent="0.15">
      <c r="A140" s="29" t="s">
        <v>121</v>
      </c>
      <c r="B140" s="29"/>
      <c r="C140" s="29">
        <f>SUBTOTAL(102,C2:C139)</f>
        <v>0</v>
      </c>
      <c r="D140" s="29"/>
      <c r="E140" s="29">
        <f>SUBTOTAL(101,E2:E139)</f>
        <v>3.5</v>
      </c>
      <c r="F140" s="29">
        <f>SUBTOTAL(101,F2:F139)</f>
        <v>1.3</v>
      </c>
      <c r="G140" s="29"/>
      <c r="H140" s="29"/>
      <c r="I140" s="29">
        <f>SUBTOTAL(101,I2:I139)</f>
        <v>379000</v>
      </c>
      <c r="J140" s="30">
        <f>SUBTOTAL(101,J2:J139)</f>
        <v>3.8899999999999997E-2</v>
      </c>
      <c r="K140" s="29"/>
      <c r="L140" s="29">
        <f>SUBTOTAL(101,L2:L139)</f>
        <v>31.5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  <extLst>
    <x:ext xmlns:x="http://schemas.openxmlformats.org/spreadsheetml/2006/main" xmlns:mx="http://schemas.microsoft.com/office/mac/excel/2008/main" uri="http://schemas.microsoft.com/office/mac/excel/2008/main">
      <mx:PLV Mode="0" OnePage="0" WScale="0"/>
    </x: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"/>
  <sheetViews>
    <sheetView tabSelected="1" workbookViewId="0">
      <selection activeCell="H4" sqref="H4"/>
    </sheetView>
  </sheetViews>
  <sheetFormatPr baseColWidth="10" defaultColWidth="8.83203125" defaultRowHeight="13" x14ac:dyDescent="0.15"/>
  <cols>
    <col min="2" max="2" width="16" style="1" customWidth="1"/>
    <col min="3" max="5" width="14.6640625" style="1" customWidth="1"/>
    <col min="6" max="6" width="5.6640625" style="1" customWidth="1"/>
    <col min="7" max="7" width="17.33203125" style="1" customWidth="1"/>
    <col min="8" max="8" width="19.5" style="1" customWidth="1"/>
    <col min="9" max="10" width="15.6640625" style="1" customWidth="1"/>
    <col min="11" max="11" width="25.6640625" style="1" customWidth="1"/>
  </cols>
  <sheetData>
    <row r="1" spans="1:8" ht="19" x14ac:dyDescent="0.25">
      <c r="A1" s="15" t="s">
        <v>122</v>
      </c>
      <c r="B1" s="15"/>
      <c r="C1" s="16">
        <v>200000</v>
      </c>
      <c r="D1" s="15" t="s">
        <v>123</v>
      </c>
      <c r="E1" s="15"/>
    </row>
    <row r="2" spans="1:8" ht="16" thickBot="1" x14ac:dyDescent="0.25">
      <c r="A2" s="12">
        <v>3.6999999999999998E-2</v>
      </c>
      <c r="C2" s="1">
        <v>20</v>
      </c>
      <c r="D2" s="2" t="s">
        <v>124</v>
      </c>
    </row>
    <row r="3" spans="1:8" x14ac:dyDescent="0.15">
      <c r="A3" s="3"/>
      <c r="D3" s="2"/>
      <c r="G3" s="33" t="s">
        <v>125</v>
      </c>
      <c r="H3" s="34"/>
    </row>
    <row r="4" spans="1:8" x14ac:dyDescent="0.15">
      <c r="B4" s="2" t="s">
        <v>126</v>
      </c>
      <c r="C4" s="31" t="s">
        <v>127</v>
      </c>
      <c r="D4" s="32"/>
      <c r="E4" s="32"/>
      <c r="G4" s="9" t="s">
        <v>128</v>
      </c>
      <c r="H4" s="27">
        <f>PMT(H5/12,H6*12,-H9)</f>
        <v>949.99999999999977</v>
      </c>
    </row>
    <row r="5" spans="1:8" x14ac:dyDescent="0.15">
      <c r="B5" s="22">
        <f>PMT(A2/12,C2*12,-C1)</f>
        <v>1180.5789640662674</v>
      </c>
      <c r="C5" s="19">
        <v>15</v>
      </c>
      <c r="D5" s="19">
        <v>20</v>
      </c>
      <c r="E5" s="20">
        <v>30</v>
      </c>
      <c r="G5" s="9" t="s">
        <v>6</v>
      </c>
      <c r="H5" s="11">
        <v>3.6999999999999998E-2</v>
      </c>
    </row>
    <row r="6" spans="1:8" ht="14" thickBot="1" x14ac:dyDescent="0.2">
      <c r="B6" s="21">
        <v>3.6999999999999998E-2</v>
      </c>
      <c r="C6" s="23">
        <f t="dataTable" ref="C6:E25" dt2D="1" dtr="1" r1="C2" r2="A2"/>
        <v>1449.4887957816209</v>
      </c>
      <c r="D6" s="23">
        <v>1180.5789640662674</v>
      </c>
      <c r="E6" s="24">
        <v>920.56596942051749</v>
      </c>
      <c r="G6" s="10" t="s">
        <v>127</v>
      </c>
      <c r="H6" s="8">
        <v>30</v>
      </c>
    </row>
    <row r="7" spans="1:8" ht="14" thickBot="1" x14ac:dyDescent="0.2">
      <c r="B7" s="21">
        <v>3.7499999999999999E-2</v>
      </c>
      <c r="C7" s="23">
        <v>1454.4448853175786</v>
      </c>
      <c r="D7" s="23">
        <v>1185.776629920445</v>
      </c>
      <c r="E7" s="24">
        <v>926.23118314425551</v>
      </c>
    </row>
    <row r="8" spans="1:8" x14ac:dyDescent="0.15">
      <c r="B8" s="21">
        <v>3.7999999999999999E-2</v>
      </c>
      <c r="C8" s="23">
        <v>1459.4110215880469</v>
      </c>
      <c r="D8" s="23">
        <v>1190.9873696033451</v>
      </c>
      <c r="E8" s="24">
        <v>931.91470198914283</v>
      </c>
      <c r="G8" s="33" t="s">
        <v>129</v>
      </c>
      <c r="H8" s="34"/>
    </row>
    <row r="9" spans="1:8" ht="14" thickBot="1" x14ac:dyDescent="0.2">
      <c r="B9" s="21">
        <v>3.85E-2</v>
      </c>
      <c r="C9" s="23">
        <v>1464.3871955292234</v>
      </c>
      <c r="D9" s="23">
        <v>1196.2111628772848</v>
      </c>
      <c r="E9" s="24">
        <v>937.61646448036072</v>
      </c>
      <c r="G9" s="10" t="s">
        <v>130</v>
      </c>
      <c r="H9" s="17">
        <v>206394.76833974445</v>
      </c>
    </row>
    <row r="10" spans="1:8" x14ac:dyDescent="0.15">
      <c r="B10" s="21">
        <v>3.9E-2</v>
      </c>
      <c r="C10" s="23">
        <v>1469.3733979757985</v>
      </c>
      <c r="D10" s="23">
        <v>1201.4479892860527</v>
      </c>
      <c r="E10" s="24">
        <v>943.33640859615866</v>
      </c>
    </row>
    <row r="11" spans="1:8" x14ac:dyDescent="0.15">
      <c r="B11" s="21">
        <v>3.95E-2</v>
      </c>
      <c r="C11" s="23">
        <v>1474.3696196613178</v>
      </c>
      <c r="D11" s="23">
        <v>1206.6978281562831</v>
      </c>
      <c r="E11" s="24">
        <v>949.07447177636277</v>
      </c>
    </row>
    <row r="12" spans="1:8" x14ac:dyDescent="0.15">
      <c r="B12" s="21">
        <v>0.04</v>
      </c>
      <c r="C12" s="23">
        <v>1479.3758512185404</v>
      </c>
      <c r="D12" s="23">
        <v>1211.9606585988374</v>
      </c>
      <c r="E12" s="24">
        <v>954.8305909309189</v>
      </c>
    </row>
    <row r="13" spans="1:8" x14ac:dyDescent="0.15">
      <c r="B13" s="21">
        <v>4.0500000000000001E-2</v>
      </c>
      <c r="C13" s="23">
        <v>1484.3920831798132</v>
      </c>
      <c r="D13" s="23">
        <v>1217.2364595101994</v>
      </c>
      <c r="E13" s="24">
        <v>960.60470244847215</v>
      </c>
    </row>
    <row r="14" spans="1:8" x14ac:dyDescent="0.15">
      <c r="B14" s="21">
        <v>4.1000000000000002E-2</v>
      </c>
      <c r="C14" s="23">
        <v>1489.4183059774361</v>
      </c>
      <c r="D14" s="23">
        <v>1222.525209573882</v>
      </c>
      <c r="E14" s="24">
        <v>966.39674220497545</v>
      </c>
    </row>
    <row r="15" spans="1:8" x14ac:dyDescent="0.15">
      <c r="B15" s="21">
        <v>4.1500000000000002E-2</v>
      </c>
      <c r="C15" s="23">
        <v>1494.4545099440352</v>
      </c>
      <c r="D15" s="23">
        <v>1227.826887261843</v>
      </c>
      <c r="E15" s="24">
        <v>972.20664557232988</v>
      </c>
    </row>
    <row r="16" spans="1:8" x14ac:dyDescent="0.15">
      <c r="B16" s="21">
        <v>4.2000000000000003E-2</v>
      </c>
      <c r="C16" s="23">
        <v>1499.5006853129446</v>
      </c>
      <c r="D16" s="23">
        <v>1233.141470835913</v>
      </c>
      <c r="E16" s="24">
        <v>978.03434742705224</v>
      </c>
    </row>
    <row r="17" spans="2:5" x14ac:dyDescent="0.15">
      <c r="B17" s="21">
        <v>4.2500000000000003E-2</v>
      </c>
      <c r="C17" s="23">
        <v>1504.5568222185818</v>
      </c>
      <c r="D17" s="23">
        <v>1238.4689383492357</v>
      </c>
      <c r="E17" s="24">
        <v>983.87978215896726</v>
      </c>
    </row>
    <row r="18" spans="2:5" x14ac:dyDescent="0.15">
      <c r="B18" s="21">
        <v>4.2999999999999997E-2</v>
      </c>
      <c r="C18" s="23">
        <v>1509.6229106968349</v>
      </c>
      <c r="D18" s="23">
        <v>1243.8092676477145</v>
      </c>
      <c r="E18" s="24">
        <v>989.74288367992301</v>
      </c>
    </row>
    <row r="19" spans="2:5" x14ac:dyDescent="0.15">
      <c r="B19" s="21">
        <v>4.3499999999999997E-2</v>
      </c>
      <c r="C19" s="23">
        <v>1514.698940685445</v>
      </c>
      <c r="D19" s="23">
        <v>1249.1624363714743</v>
      </c>
      <c r="E19" s="24">
        <v>995.62358543252913</v>
      </c>
    </row>
    <row r="20" spans="2:5" x14ac:dyDescent="0.15">
      <c r="B20" s="21">
        <v>4.3999999999999997E-2</v>
      </c>
      <c r="C20" s="23">
        <v>1519.7849020244023</v>
      </c>
      <c r="D20" s="23">
        <v>1254.5284219563296</v>
      </c>
      <c r="E20" s="24">
        <v>1001.5218203989125</v>
      </c>
    </row>
    <row r="21" spans="2:5" x14ac:dyDescent="0.15">
      <c r="B21" s="21">
        <v>4.4499999999999998E-2</v>
      </c>
      <c r="C21" s="23">
        <v>1524.8807844563341</v>
      </c>
      <c r="D21" s="23">
        <v>1259.907201635265</v>
      </c>
      <c r="E21" s="24">
        <v>1007.4375211094911</v>
      </c>
    </row>
    <row r="22" spans="2:5" x14ac:dyDescent="0.15">
      <c r="B22" s="21">
        <v>4.4999999999999998E-2</v>
      </c>
      <c r="C22" s="23">
        <v>1529.9865776269035</v>
      </c>
      <c r="D22" s="23">
        <v>1265.2987524399248</v>
      </c>
      <c r="E22" s="24">
        <v>1013.3706196517612</v>
      </c>
    </row>
    <row r="23" spans="2:5" x14ac:dyDescent="0.15">
      <c r="B23" s="21">
        <v>4.5499999999999999E-2</v>
      </c>
      <c r="C23" s="23">
        <v>1535.1022710852092</v>
      </c>
      <c r="D23" s="23">
        <v>1270.7030512021113</v>
      </c>
      <c r="E23" s="24">
        <v>1019.3210476791008</v>
      </c>
    </row>
    <row r="24" spans="2:5" x14ac:dyDescent="0.15">
      <c r="B24" s="21">
        <v>4.5999999999999999E-2</v>
      </c>
      <c r="C24" s="23">
        <v>1540.2278542841871</v>
      </c>
      <c r="D24" s="23">
        <v>1276.1200745552931</v>
      </c>
      <c r="E24" s="24">
        <v>1025.2887364195794</v>
      </c>
    </row>
    <row r="25" spans="2:5" x14ac:dyDescent="0.15">
      <c r="B25" s="28">
        <v>4.65E-2</v>
      </c>
      <c r="C25" s="25">
        <v>1545.3633165810163</v>
      </c>
      <c r="D25" s="25">
        <v>1281.5497989361243</v>
      </c>
      <c r="E25" s="26">
        <v>1031.2736166847801</v>
      </c>
    </row>
    <row r="26" spans="2:5" x14ac:dyDescent="0.15">
      <c r="D26" s="18"/>
    </row>
    <row r="27" spans="2:5" x14ac:dyDescent="0.15">
      <c r="D27" s="18"/>
    </row>
    <row r="28" spans="2:5" x14ac:dyDescent="0.15">
      <c r="D28" s="18"/>
    </row>
    <row r="29" spans="2:5" x14ac:dyDescent="0.15">
      <c r="D29" s="18"/>
    </row>
    <row r="30" spans="2:5" x14ac:dyDescent="0.15">
      <c r="D30" s="18"/>
    </row>
    <row r="31" spans="2:5" x14ac:dyDescent="0.15">
      <c r="D31" s="18"/>
    </row>
    <row r="32" spans="2:5" x14ac:dyDescent="0.15">
      <c r="D32" s="18"/>
    </row>
    <row r="33" spans="4:4" x14ac:dyDescent="0.15">
      <c r="D33" s="18"/>
    </row>
    <row r="34" spans="4:4" x14ac:dyDescent="0.15">
      <c r="D34" s="18"/>
    </row>
    <row r="35" spans="4:4" x14ac:dyDescent="0.15">
      <c r="D35" s="18"/>
    </row>
  </sheetData>
  <mergeCells count="3">
    <mergeCell ref="C4:E4"/>
    <mergeCell ref="G3:H3"/>
    <mergeCell ref="G8:H8"/>
  </mergeCells>
  <phoneticPr fontId="3" type="noConversion"/>
  <pageMargins left="0.7" right="0.7" top="0.75" bottom="0.75" header="0.3" footer="0.3"/>
  <extLst>
    <x:ext xmlns:x="http://schemas.openxmlformats.org/spreadsheetml/2006/main" xmlns:mx="http://schemas.microsoft.com/office/mac/excel/2008/main" uri="http://schemas.microsoft.com/office/mac/excel/2008/main">
      <mx:PLV Mode="0" OnePage="0" WScale="0"/>
    </x: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enna xmlns="http://customxml.org">
  <kers>iNjyxR8UitFMx/OCz6zp3VZHFsCxj8N/xC7/2tE7VZU=</kers>
  <massa>9/20/2026 10:17:25 PM</massa>
  <hamilton>true</hamilton>
</senna>
</file>

<file path=customXml/itemProps1.xml><?xml version="1.0" encoding="utf-8"?>
<ds:datastoreItem xmlns:ds="http://schemas.openxmlformats.org/officeDocument/2006/customXml" ds:itemID="{2AC8867B-92BD-466C-9E84-33450D45C4B7}">
  <ds:schemaRefs>
    <ds:schemaRef ds:uri="http://customxml.org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Sheet2</vt:lpstr>
      <vt:lpstr>Sales Data</vt:lpstr>
      <vt:lpstr>Loan Worksheet</vt:lpstr>
      <vt:lpstr>By Owner Sales</vt:lpstr>
    </vt:vector>
  </TitlesOfParts>
  <Manager/>
  <Company>sdsd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Bui, Tung Bach D.</cp:lastModifiedBy>
  <cp:revision/>
  <dcterms:created xsi:type="dcterms:W3CDTF">2000-04-03T15:24:55Z</dcterms:created>
  <dcterms:modified xsi:type="dcterms:W3CDTF">2026-09-22T03:02:32Z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_schema_validation">
    <vt:lpwstr>[{"Key":"kers","Value":"iNjyxR8UitFMx/OCz6zp3VZHFsCxj8N/xC7/2tE7VZU="},{"Key":"massa","Value":"9/20/2026 10:17:25 PM"},{"Key":"hamilton","Value":"true"}]</vt:lpwstr>
  </property>
</Properties>
</file>